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OC001" sheetId="1" state="visible" r:id="rId1"/>
  </sheets>
  <definedNames>
    <definedName name="_xlnm.Print_Area" localSheetId="0">'OC001'!$B$2:$H$67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7">
    <numFmt numFmtId="164" formatCode="_-* #,##0.00_-;\-* #,##0.00_-;_-* \-??_-;_-@_-"/>
    <numFmt numFmtId="165" formatCode="_-&quot;R$&quot;* #,##0.00_-;&quot;-R$&quot;* #,##0.00_-;_-&quot;R$&quot;* \-??_-;_-@_-"/>
    <numFmt numFmtId="166" formatCode="m/d/yyyy"/>
    <numFmt numFmtId="167" formatCode="_-&quot;R$ &quot;* #,##0.00_-;&quot;-R$ &quot;* #,##0.00_-;_-&quot;R$ &quot;* \-??_-;_-@_-"/>
    <numFmt numFmtId="168" formatCode="_([$€]* #,##0.00_);_([$€]* \(#,##0.00\);_([$€]* \-??_);_(@_)"/>
    <numFmt numFmtId="169" formatCode="_(\$* #,##0.00_);_(\$* \(#,##0.00\);_(\$* \-??_);_(@_)"/>
    <numFmt numFmtId="170" formatCode="_(* #,##0.00_);_(* \(#,##0.00\);_(* \-??_);_(@_)"/>
  </numFmts>
  <fonts count="3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</font>
    <font>
      <name val="Microsoft JhengHei"/>
      <charset val="1"/>
      <family val="2"/>
      <color theme="1"/>
      <sz val="11"/>
    </font>
    <font>
      <name val="Microsoft JhengHei"/>
      <charset val="1"/>
      <family val="2"/>
      <b val="1"/>
      <color rgb="FFEBD438"/>
      <sz val="20"/>
    </font>
    <font>
      <name val="Microsoft JhengHei"/>
      <charset val="1"/>
      <family val="2"/>
      <color theme="0"/>
      <sz val="11"/>
    </font>
    <font>
      <name val="Microsoft JhengHei"/>
      <charset val="1"/>
      <family val="2"/>
      <color rgb="FFFFFF00"/>
      <sz val="11"/>
    </font>
    <font>
      <name val="Microsoft JhengHei"/>
      <charset val="1"/>
      <family val="2"/>
      <color theme="1"/>
      <sz val="12"/>
    </font>
    <font>
      <name val="Microsoft JhengHei"/>
      <charset val="1"/>
      <family val="2"/>
      <b val="1"/>
      <color theme="1"/>
      <sz val="12"/>
    </font>
    <font>
      <name val="Microsoft JhengHei"/>
      <charset val="1"/>
      <family val="2"/>
      <color rgb="FFFFFF00"/>
      <sz val="12"/>
    </font>
    <font>
      <name val="Microsoft JhengHei"/>
      <charset val="1"/>
      <family val="2"/>
      <sz val="12"/>
    </font>
    <font>
      <name val="Microsoft JhengHei"/>
      <charset val="1"/>
      <family val="2"/>
      <b val="1"/>
      <sz val="11"/>
    </font>
    <font>
      <name val="Microsoft JhengHei"/>
      <charset val="1"/>
      <family val="2"/>
      <sz val="11"/>
    </font>
    <font>
      <name val="Microsoft JhengHei"/>
      <charset val="1"/>
      <family val="2"/>
      <b val="1"/>
      <sz val="24"/>
    </font>
    <font>
      <name val="Microsoft JhengHei"/>
      <charset val="1"/>
      <family val="2"/>
      <sz val="28"/>
    </font>
    <font>
      <name val="Microsoft JhengHei"/>
      <charset val="1"/>
      <family val="2"/>
      <b val="1"/>
      <sz val="14"/>
    </font>
    <font>
      <name val="Microsoft JhengHei"/>
      <charset val="1"/>
      <family val="2"/>
      <b val="1"/>
      <color rgb="FFFF0000"/>
      <sz val="11"/>
    </font>
    <font>
      <name val="Microsoft JhengHei"/>
      <charset val="1"/>
      <family val="2"/>
      <b val="1"/>
      <sz val="12"/>
    </font>
    <font>
      <name val="Microsoft JhengHei"/>
      <charset val="1"/>
      <family val="2"/>
      <color theme="1"/>
      <sz val="10"/>
    </font>
    <font>
      <name val="Calibri"/>
      <charset val="1"/>
      <family val="2"/>
      <color theme="10"/>
      <sz val="11"/>
      <u val="single"/>
    </font>
    <font>
      <name val="Microsoft JhengHei"/>
      <charset val="1"/>
      <family val="2"/>
      <color theme="1"/>
      <sz val="16"/>
    </font>
    <font>
      <name val="Microsoft JhengHei"/>
      <charset val="1"/>
      <family val="2"/>
      <b val="1"/>
      <color rgb="FFFF0000"/>
      <sz val="16"/>
    </font>
    <font>
      <name val="Microsoft JhengHei"/>
      <charset val="1"/>
      <family val="2"/>
      <b val="1"/>
      <color theme="1"/>
      <sz val="11"/>
    </font>
    <font>
      <name val="Microsoft JhengHei"/>
      <charset val="1"/>
      <family val="2"/>
      <b val="1"/>
      <color rgb="FFFFFF00"/>
      <sz val="12"/>
    </font>
    <font>
      <name val="Microsoft JhengHei"/>
      <charset val="1"/>
      <family val="0"/>
      <b val="1"/>
      <color rgb="FF0000FF"/>
      <sz val="11"/>
    </font>
    <font>
      <name val="Arial"/>
      <charset val="1"/>
      <family val="2"/>
      <b val="1"/>
      <color rgb="FF0000FF"/>
      <sz val="11"/>
    </font>
    <font>
      <name val="Microsoft JhengHei"/>
      <charset val="1"/>
      <family val="2"/>
      <b val="1"/>
      <color rgb="FFFF0000"/>
      <sz val="18"/>
    </font>
    <font>
      <name val="Microsoft JhengHei"/>
      <charset val="1"/>
      <family val="0"/>
      <b val="1"/>
      <color rgb="FFFF0000"/>
      <sz val="13"/>
    </font>
    <font>
      <name val="Microsoft JhengHei"/>
      <charset val="1"/>
      <family val="2"/>
      <b val="1"/>
      <color theme="1"/>
      <sz val="14"/>
    </font>
    <font>
      <name val="Microsoft JhengHei"/>
      <charset val="1"/>
      <family val="2"/>
      <color rgb="FFFF0000"/>
      <sz val="11"/>
    </font>
    <font>
      <name val="Microsoft JhengHei"/>
      <charset val="1"/>
      <family val="2"/>
      <b val="1"/>
      <color rgb="FFFF0000"/>
      <sz val="14"/>
    </font>
    <font>
      <name val="Arial"/>
      <charset val="1"/>
      <family val="2"/>
      <sz val="12"/>
    </font>
    <font>
      <name val="Microsoft JhengHei"/>
      <charset val="1"/>
      <family val="2"/>
      <b val="1"/>
      <color rgb="FFFFC000"/>
      <sz val="12"/>
    </font>
    <font>
      <name val="Arial"/>
      <charset val="1"/>
      <family val="2"/>
      <color theme="1"/>
      <sz val="10"/>
    </font>
    <font>
      <name val="Microsoft JhengHei"/>
      <charset val="1"/>
      <family val="2"/>
      <color rgb="FFFFC000"/>
      <sz val="10"/>
    </font>
    <font>
      <name val="Microsoft JhengHei"/>
      <charset val="1"/>
      <family val="2"/>
      <b val="1"/>
      <color rgb="FFFFC000"/>
      <sz val="10"/>
    </font>
    <font>
      <name val="Microsoft JhengHei"/>
      <charset val="1"/>
      <family val="2"/>
      <b val="1"/>
      <color rgb="FFFFC000"/>
      <sz val="11"/>
    </font>
  </fonts>
  <fills count="9">
    <fill>
      <patternFill/>
    </fill>
    <fill>
      <patternFill patternType="gray125"/>
    </fill>
    <fill>
      <patternFill patternType="solid">
        <fgColor rgb="FF231F20"/>
        <bgColor rgb="FF333300"/>
      </patternFill>
    </fill>
    <fill>
      <patternFill patternType="solid">
        <fgColor rgb="FF9D9FA2"/>
        <bgColor rgb="FFB9B9B9"/>
      </patternFill>
    </fill>
    <fill>
      <patternFill patternType="solid">
        <fgColor rgb="FFEBD438"/>
        <bgColor rgb="FFFFC000"/>
      </patternFill>
    </fill>
    <fill>
      <patternFill patternType="solid">
        <fgColor theme="0" tint="-0.05"/>
        <bgColor rgb="FFFFFFFF"/>
      </patternFill>
    </fill>
    <fill>
      <patternFill patternType="solid">
        <fgColor rgb="FFB9B9B9"/>
        <bgColor rgb="FF9D9FA2"/>
      </patternFill>
    </fill>
    <fill>
      <patternFill patternType="solid">
        <fgColor theme="2" tint="-0.5"/>
        <bgColor rgb="FF666699"/>
      </patternFill>
    </fill>
    <fill>
      <patternFill patternType="solid">
        <fgColor theme="1"/>
        <bgColor rgb="FF231F20"/>
      </patternFill>
    </fill>
  </fills>
  <borders count="40">
    <border>
      <left/>
      <right/>
      <top/>
      <bottom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 style="thin"/>
      <right style="thin"/>
      <top/>
      <bottom/>
      <diagonal/>
    </border>
    <border>
      <left style="thin"/>
      <right/>
      <top/>
      <bottom/>
      <diagonal/>
    </border>
    <border>
      <left/>
      <right/>
      <top/>
      <bottom style="medium"/>
      <diagonal/>
    </border>
    <border>
      <left style="medium"/>
      <right style="medium"/>
      <top/>
      <bottom/>
      <diagonal/>
    </border>
    <border>
      <left style="medium"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 style="medium"/>
      <bottom/>
      <diagonal/>
    </border>
    <border>
      <left style="medium"/>
      <right style="medium"/>
      <top style="medium"/>
      <bottom style="medium"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/>
      <right style="medium"/>
      <top style="thin"/>
      <bottom style="medium"/>
      <diagonal/>
    </border>
    <border>
      <left style="medium"/>
      <right style="thin"/>
      <top style="medium"/>
      <bottom style="medium"/>
      <diagonal/>
    </border>
    <border>
      <left style="medium"/>
      <right/>
      <top/>
      <bottom style="thin"/>
      <diagonal/>
    </border>
    <border>
      <left/>
      <right style="thin"/>
      <top style="thin"/>
      <bottom style="medium"/>
      <diagonal/>
    </border>
    <border>
      <left/>
      <right style="thin"/>
      <top style="medium"/>
      <bottom/>
      <diagonal/>
    </border>
    <border>
      <left/>
      <right/>
      <top style="medium"/>
      <bottom style="medium"/>
      <diagonal/>
    </border>
    <border>
      <left/>
      <right style="thin"/>
      <top style="medium"/>
      <bottom style="medium"/>
      <diagonal/>
    </border>
  </borders>
  <cellStyleXfs count="20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168" fontId="4" fillId="0" borderId="0" applyAlignment="1">
      <alignment horizontal="general" vertical="bottom"/>
    </xf>
    <xf numFmtId="168" fontId="4" fillId="0" borderId="0" applyAlignment="1">
      <alignment horizontal="general" vertical="bottom"/>
    </xf>
    <xf numFmtId="169" fontId="4" fillId="0" borderId="0" applyAlignment="1">
      <alignment horizontal="general" vertical="bottom"/>
    </xf>
    <xf numFmtId="169" fontId="0" fillId="0" borderId="0" applyAlignment="1">
      <alignment horizontal="general" vertical="bottom"/>
    </xf>
    <xf numFmtId="165" fontId="4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4" fillId="0" borderId="0" applyAlignment="1">
      <alignment horizontal="general" vertical="bottom"/>
    </xf>
    <xf numFmtId="9" fontId="4" fillId="0" borderId="0" applyAlignment="1">
      <alignment horizontal="general" vertical="bottom"/>
    </xf>
    <xf numFmtId="9" fontId="4" fillId="0" borderId="0" applyAlignment="1">
      <alignment horizontal="general" vertical="bottom"/>
    </xf>
    <xf numFmtId="170" fontId="4" fillId="0" borderId="0" applyAlignment="1">
      <alignment horizontal="general" vertical="bottom"/>
    </xf>
    <xf numFmtId="170" fontId="4" fillId="0" borderId="0" applyAlignment="1">
      <alignment horizontal="general" vertical="bottom"/>
    </xf>
  </cellStyleXfs>
  <cellXfs count="301"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general" vertical="center"/>
    </xf>
    <xf numFmtId="9" fontId="5" fillId="0" borderId="0" applyAlignment="1" pivotButton="0" quotePrefix="0" xfId="0">
      <alignment horizontal="general" vertical="center"/>
    </xf>
    <xf numFmtId="0" fontId="6" fillId="2" borderId="1" applyAlignment="1" pivotButton="0" quotePrefix="0" xfId="0">
      <alignment horizontal="general" vertical="center"/>
    </xf>
    <xf numFmtId="0" fontId="6" fillId="2" borderId="2" applyAlignment="1" pivotButton="0" quotePrefix="0" xfId="0">
      <alignment horizontal="general" vertical="center"/>
    </xf>
    <xf numFmtId="0" fontId="6" fillId="2" borderId="2" applyAlignment="1" pivotButton="0" quotePrefix="0" xfId="0">
      <alignment horizontal="center" vertical="center"/>
    </xf>
    <xf numFmtId="0" fontId="5" fillId="2" borderId="3" applyAlignment="1" pivotButton="0" quotePrefix="0" xfId="0">
      <alignment horizontal="general" vertical="center"/>
    </xf>
    <xf numFmtId="0" fontId="6" fillId="2" borderId="4" applyAlignment="1" pivotButton="0" quotePrefix="0" xfId="0">
      <alignment horizontal="general" vertical="center"/>
    </xf>
    <xf numFmtId="0" fontId="6" fillId="2" borderId="0" applyAlignment="1" pivotButton="0" quotePrefix="0" xfId="0">
      <alignment horizontal="general" vertical="center"/>
    </xf>
    <xf numFmtId="0" fontId="5" fillId="2" borderId="5" applyAlignment="1" pivotButton="0" quotePrefix="0" xfId="0">
      <alignment horizontal="general" vertical="center"/>
    </xf>
    <xf numFmtId="0" fontId="7" fillId="2" borderId="4" applyAlignment="1" pivotButton="0" quotePrefix="0" xfId="0">
      <alignment horizontal="general" vertical="center"/>
    </xf>
    <xf numFmtId="0" fontId="7" fillId="2" borderId="0" applyAlignment="1" pivotButton="0" quotePrefix="0" xfId="0">
      <alignment horizontal="center" vertical="center"/>
    </xf>
    <xf numFmtId="165" fontId="7" fillId="2" borderId="0" applyAlignment="1" pivotButton="0" quotePrefix="0" xfId="0">
      <alignment horizontal="general" vertical="center"/>
    </xf>
    <xf numFmtId="0" fontId="5" fillId="3" borderId="4" applyAlignment="1" pivotButton="0" quotePrefix="0" xfId="0">
      <alignment horizontal="general" vertical="center"/>
    </xf>
    <xf numFmtId="0" fontId="5" fillId="3" borderId="0" applyAlignment="1" pivotButton="0" quotePrefix="0" xfId="0">
      <alignment horizontal="center" vertical="center"/>
    </xf>
    <xf numFmtId="164" fontId="5" fillId="3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general" vertical="center"/>
    </xf>
    <xf numFmtId="165" fontId="8" fillId="4" borderId="0" applyAlignment="1" pivotButton="0" quotePrefix="0" xfId="0">
      <alignment horizontal="general" vertical="center"/>
    </xf>
    <xf numFmtId="0" fontId="8" fillId="4" borderId="5" applyAlignment="1" pivotButton="0" quotePrefix="0" xfId="0">
      <alignment horizontal="general" vertical="center"/>
    </xf>
    <xf numFmtId="0" fontId="9" fillId="0" borderId="0" applyAlignment="1" pivotButton="0" quotePrefix="0" xfId="0">
      <alignment horizontal="general" vertical="center"/>
    </xf>
    <xf numFmtId="0" fontId="9" fillId="0" borderId="4" applyAlignment="1" pivotButton="0" quotePrefix="0" xfId="0">
      <alignment horizontal="general" vertical="center"/>
    </xf>
    <xf numFmtId="0" fontId="10" fillId="0" borderId="0" applyAlignment="1" pivotButton="0" quotePrefix="0" xfId="0">
      <alignment horizontal="general" vertical="center"/>
    </xf>
    <xf numFmtId="164" fontId="9" fillId="0" borderId="0" applyAlignment="1" pivotButton="0" quotePrefix="0" xfId="0">
      <alignment horizontal="center" vertical="center"/>
    </xf>
    <xf numFmtId="165" fontId="9" fillId="0" borderId="0" applyAlignment="1" pivotButton="0" quotePrefix="0" xfId="0">
      <alignment horizontal="general" vertical="center"/>
    </xf>
    <xf numFmtId="165" fontId="11" fillId="0" borderId="0" applyAlignment="1" pivotButton="0" quotePrefix="0" xfId="0">
      <alignment horizontal="general" vertical="center"/>
    </xf>
    <xf numFmtId="0" fontId="11" fillId="0" borderId="5" applyAlignment="1" pivotButton="0" quotePrefix="0" xfId="0">
      <alignment horizontal="general" vertical="center"/>
    </xf>
    <xf numFmtId="9" fontId="9" fillId="0" borderId="0" applyAlignment="1" pivotButton="0" quotePrefix="0" xfId="0">
      <alignment horizontal="general" vertical="center"/>
    </xf>
    <xf numFmtId="0" fontId="12" fillId="0" borderId="0" applyAlignment="1" pivotButton="0" quotePrefix="0" xfId="0">
      <alignment horizontal="general" vertical="center"/>
    </xf>
    <xf numFmtId="0" fontId="10" fillId="0" borderId="6" applyAlignment="1" pivotButton="0" quotePrefix="0" xfId="0">
      <alignment horizontal="center" vertical="center" textRotation="90"/>
    </xf>
    <xf numFmtId="0" fontId="13" fillId="0" borderId="7" applyAlignment="1" pivotButton="0" quotePrefix="0" xfId="0">
      <alignment horizontal="left" vertical="center"/>
    </xf>
    <xf numFmtId="0" fontId="14" fillId="0" borderId="8" applyAlignment="1" pivotButton="0" quotePrefix="0" xfId="0">
      <alignment horizontal="general" vertical="center"/>
    </xf>
    <xf numFmtId="164" fontId="12" fillId="0" borderId="0" applyAlignment="1" pivotButton="0" quotePrefix="0" xfId="0">
      <alignment horizontal="center" vertical="center"/>
    </xf>
    <xf numFmtId="165" fontId="15" fillId="0" borderId="9" applyAlignment="1" pivotButton="0" quotePrefix="0" xfId="0">
      <alignment horizontal="center" vertical="center"/>
    </xf>
    <xf numFmtId="165" fontId="16" fillId="0" borderId="8" applyAlignment="1" pivotButton="0" quotePrefix="0" xfId="0">
      <alignment horizontal="center" vertical="center"/>
    </xf>
    <xf numFmtId="165" fontId="12" fillId="0" borderId="0" applyAlignment="1" pivotButton="0" quotePrefix="0" xfId="0">
      <alignment horizontal="general" vertical="center"/>
    </xf>
    <xf numFmtId="9" fontId="12" fillId="0" borderId="0" applyAlignment="1" pivotButton="0" quotePrefix="0" xfId="0">
      <alignment horizontal="general" vertical="center"/>
    </xf>
    <xf numFmtId="0" fontId="13" fillId="0" borderId="0" applyAlignment="1" pivotButton="0" quotePrefix="0" xfId="0">
      <alignment horizontal="left" vertical="center"/>
    </xf>
    <xf numFmtId="0" fontId="14" fillId="0" borderId="10" applyAlignment="1" pivotButton="0" quotePrefix="0" xfId="0">
      <alignment horizontal="general" vertical="center"/>
    </xf>
    <xf numFmtId="0" fontId="14" fillId="0" borderId="10" applyAlignment="1" pivotButton="0" quotePrefix="0" xfId="0">
      <alignment horizontal="left" vertical="center" wrapText="1"/>
    </xf>
    <xf numFmtId="165" fontId="17" fillId="0" borderId="11" applyAlignment="1" pivotButton="0" quotePrefix="0" xfId="0">
      <alignment horizontal="center" vertical="center"/>
    </xf>
    <xf numFmtId="166" fontId="17" fillId="0" borderId="12" applyAlignment="1" pivotButton="0" quotePrefix="0" xfId="0">
      <alignment horizontal="center" vertical="center"/>
    </xf>
    <xf numFmtId="0" fontId="13" fillId="0" borderId="13" applyAlignment="1" pivotButton="0" quotePrefix="0" xfId="0">
      <alignment horizontal="general" vertical="center"/>
    </xf>
    <xf numFmtId="0" fontId="14" fillId="0" borderId="12" applyAlignment="1" pivotButton="0" quotePrefix="0" xfId="0">
      <alignment horizontal="left" vertical="center"/>
    </xf>
    <xf numFmtId="0" fontId="14" fillId="0" borderId="0" applyAlignment="1" pivotButton="0" quotePrefix="0" xfId="0">
      <alignment horizontal="general" vertical="center"/>
    </xf>
    <xf numFmtId="0" fontId="13" fillId="0" borderId="4" applyAlignment="1" pivotButton="0" quotePrefix="0" xfId="0">
      <alignment horizontal="general" vertical="center"/>
    </xf>
    <xf numFmtId="0" fontId="14" fillId="0" borderId="0" applyAlignment="1" pivotButton="0" quotePrefix="0" xfId="0">
      <alignment horizontal="center" vertical="center"/>
    </xf>
    <xf numFmtId="164" fontId="14" fillId="0" borderId="0" applyAlignment="1" pivotButton="0" quotePrefix="0" xfId="0">
      <alignment horizontal="center" vertical="center"/>
    </xf>
    <xf numFmtId="165" fontId="13" fillId="0" borderId="0" applyAlignment="1" pivotButton="0" quotePrefix="0" xfId="0">
      <alignment horizontal="general" vertical="center"/>
    </xf>
    <xf numFmtId="165" fontId="14" fillId="0" borderId="0" applyAlignment="1" pivotButton="0" quotePrefix="0" xfId="0">
      <alignment horizontal="center" vertical="center"/>
    </xf>
    <xf numFmtId="165" fontId="14" fillId="0" borderId="5" applyAlignment="1" pivotButton="0" quotePrefix="0" xfId="0">
      <alignment horizontal="center" vertical="center"/>
    </xf>
    <xf numFmtId="165" fontId="14" fillId="0" borderId="0" applyAlignment="1" pivotButton="0" quotePrefix="0" xfId="0">
      <alignment horizontal="general" vertical="center"/>
    </xf>
    <xf numFmtId="9" fontId="14" fillId="0" borderId="0" applyAlignment="1" pivotButton="0" quotePrefix="0" xfId="0">
      <alignment horizontal="general" vertical="center"/>
    </xf>
    <xf numFmtId="164" fontId="12" fillId="0" borderId="14" applyAlignment="1" pivotButton="0" quotePrefix="0" xfId="0">
      <alignment horizontal="center" vertical="center" textRotation="90" wrapText="1"/>
    </xf>
    <xf numFmtId="165" fontId="17" fillId="0" borderId="9" applyAlignment="1" pivotButton="0" quotePrefix="0" xfId="0">
      <alignment horizontal="center" vertical="center"/>
    </xf>
    <xf numFmtId="165" fontId="17" fillId="0" borderId="8" applyAlignment="1" pivotButton="0" quotePrefix="0" xfId="0">
      <alignment horizontal="center" vertical="center"/>
    </xf>
    <xf numFmtId="0" fontId="18" fillId="0" borderId="10" applyAlignment="1" pivotButton="0" quotePrefix="0" xfId="0">
      <alignment horizontal="general" vertical="center"/>
    </xf>
    <xf numFmtId="0" fontId="14" fillId="0" borderId="10" applyAlignment="1" pivotButton="0" quotePrefix="0" xfId="0">
      <alignment horizontal="left" vertical="center"/>
    </xf>
    <xf numFmtId="165" fontId="19" fillId="0" borderId="15" applyAlignment="1" pivotButton="0" quotePrefix="0" xfId="0">
      <alignment horizontal="general" vertical="center"/>
    </xf>
    <xf numFmtId="166" fontId="12" fillId="0" borderId="10" applyAlignment="1" pivotButton="0" quotePrefix="0" xfId="0">
      <alignment horizontal="center" vertical="center"/>
    </xf>
    <xf numFmtId="165" fontId="19" fillId="0" borderId="11" applyAlignment="1" pivotButton="0" quotePrefix="0" xfId="0">
      <alignment horizontal="general" vertical="center"/>
    </xf>
    <xf numFmtId="165" fontId="12" fillId="0" borderId="12" applyAlignment="1" pivotButton="0" quotePrefix="0" xfId="0">
      <alignment horizontal="center" vertical="center"/>
    </xf>
    <xf numFmtId="165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general" vertical="bottom"/>
    </xf>
    <xf numFmtId="0" fontId="21" fillId="0" borderId="12" applyAlignment="1" pivotButton="0" quotePrefix="0" xfId="0">
      <alignment horizontal="left" vertical="center"/>
    </xf>
    <xf numFmtId="0" fontId="13" fillId="0" borderId="0" applyAlignment="1" pivotButton="0" quotePrefix="0" xfId="0">
      <alignment horizontal="general" vertical="center"/>
    </xf>
    <xf numFmtId="0" fontId="13" fillId="0" borderId="0" applyAlignment="1" pivotButton="0" quotePrefix="0" xfId="0">
      <alignment horizontal="center" vertical="center"/>
    </xf>
    <xf numFmtId="0" fontId="13" fillId="0" borderId="16" applyAlignment="1" pivotButton="0" quotePrefix="0" xfId="0">
      <alignment horizontal="center" vertical="center"/>
    </xf>
    <xf numFmtId="165" fontId="13" fillId="0" borderId="0" applyAlignment="1" pivotButton="0" quotePrefix="0" xfId="0">
      <alignment horizontal="center" vertical="center"/>
    </xf>
    <xf numFmtId="0" fontId="13" fillId="0" borderId="5" applyAlignment="1" pivotButton="0" quotePrefix="0" xfId="0">
      <alignment horizontal="general" vertical="center"/>
    </xf>
    <xf numFmtId="9" fontId="13" fillId="0" borderId="0" applyAlignment="1" pivotButton="0" quotePrefix="0" xfId="0">
      <alignment horizontal="general" vertical="center"/>
    </xf>
    <xf numFmtId="0" fontId="22" fillId="0" borderId="0" applyAlignment="1" pivotButton="0" quotePrefix="0" xfId="0">
      <alignment horizontal="general" vertical="center"/>
    </xf>
    <xf numFmtId="0" fontId="23" fillId="0" borderId="1" applyAlignment="1" pivotButton="0" quotePrefix="0" xfId="0">
      <alignment horizontal="center" vertical="center"/>
    </xf>
    <xf numFmtId="165" fontId="23" fillId="0" borderId="3" applyAlignment="1" pivotButton="0" quotePrefix="0" xfId="0">
      <alignment horizontal="general" vertical="center"/>
    </xf>
    <xf numFmtId="165" fontId="22" fillId="0" borderId="0" applyAlignment="1" pivotButton="0" quotePrefix="0" xfId="0">
      <alignment horizontal="general" vertical="center"/>
    </xf>
    <xf numFmtId="9" fontId="22" fillId="0" borderId="0" applyAlignment="1" pivotButton="0" quotePrefix="0" xfId="0">
      <alignment horizontal="general" vertical="center"/>
    </xf>
    <xf numFmtId="0" fontId="24" fillId="0" borderId="0" applyAlignment="1" pivotButton="0" quotePrefix="0" xfId="0">
      <alignment horizontal="center" vertical="center" wrapText="1"/>
    </xf>
    <xf numFmtId="0" fontId="25" fillId="3" borderId="17" applyAlignment="1" pivotButton="0" quotePrefix="0" xfId="0">
      <alignment horizontal="center" vertical="center" wrapText="1"/>
    </xf>
    <xf numFmtId="165" fontId="24" fillId="0" borderId="0" applyAlignment="1" pivotButton="0" quotePrefix="0" xfId="0">
      <alignment horizontal="center" vertical="center" wrapText="1"/>
    </xf>
    <xf numFmtId="9" fontId="24" fillId="0" borderId="0" applyAlignment="1" pivotButton="0" quotePrefix="0" xfId="0">
      <alignment horizontal="center" vertical="center" wrapText="1"/>
    </xf>
    <xf numFmtId="0" fontId="24" fillId="0" borderId="4" applyAlignment="1" pivotButton="0" quotePrefix="0" xfId="0">
      <alignment horizontal="center" vertical="center" wrapText="1"/>
    </xf>
    <xf numFmtId="164" fontId="24" fillId="0" borderId="0" applyAlignment="1" pivotButton="0" quotePrefix="0" xfId="0">
      <alignment horizontal="center" vertical="center" wrapText="1"/>
    </xf>
    <xf numFmtId="0" fontId="24" fillId="0" borderId="5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165" fontId="5" fillId="0" borderId="5" applyAlignment="1" pivotButton="0" quotePrefix="0" xfId="0">
      <alignment horizontal="center" vertical="center"/>
    </xf>
    <xf numFmtId="0" fontId="26" fillId="0" borderId="17" applyAlignment="1" pivotButton="0" quotePrefix="0" xfId="0">
      <alignment horizontal="center" vertical="center"/>
    </xf>
    <xf numFmtId="0" fontId="5" fillId="5" borderId="0" applyAlignment="1" pivotButton="0" quotePrefix="0" xfId="0">
      <alignment horizontal="general" vertical="center"/>
    </xf>
    <xf numFmtId="0" fontId="24" fillId="5" borderId="4" applyAlignment="1" pivotButton="0" quotePrefix="0" xfId="0">
      <alignment horizontal="right" vertical="center"/>
    </xf>
    <xf numFmtId="165" fontId="24" fillId="5" borderId="5" applyAlignment="1" pivotButton="0" quotePrefix="0" xfId="0">
      <alignment horizontal="general" vertical="center"/>
    </xf>
    <xf numFmtId="165" fontId="5" fillId="5" borderId="0" applyAlignment="1" pivotButton="0" quotePrefix="0" xfId="0">
      <alignment horizontal="general" vertical="center"/>
    </xf>
    <xf numFmtId="9" fontId="5" fillId="5" borderId="0" applyAlignment="1" pivotButton="0" quotePrefix="0" xfId="0">
      <alignment horizontal="general" vertical="center"/>
    </xf>
    <xf numFmtId="4" fontId="27" fillId="0" borderId="17" applyAlignment="1" pivotButton="0" quotePrefix="0" xfId="0">
      <alignment horizontal="center" vertical="center"/>
    </xf>
    <xf numFmtId="0" fontId="18" fillId="5" borderId="0" applyAlignment="1" pivotButton="0" quotePrefix="0" xfId="0">
      <alignment horizontal="general" vertical="center"/>
    </xf>
    <xf numFmtId="0" fontId="28" fillId="5" borderId="4" applyAlignment="1" pivotButton="0" quotePrefix="0" xfId="0">
      <alignment horizontal="right" vertical="center"/>
    </xf>
    <xf numFmtId="165" fontId="29" fillId="5" borderId="5" applyAlignment="1" pivotButton="0" quotePrefix="0" xfId="0">
      <alignment horizontal="center" vertical="center"/>
    </xf>
    <xf numFmtId="165" fontId="18" fillId="5" borderId="0" applyAlignment="1" pivotButton="0" quotePrefix="0" xfId="0">
      <alignment horizontal="general" vertical="center"/>
    </xf>
    <xf numFmtId="9" fontId="18" fillId="5" borderId="0" applyAlignment="1" pivotButton="0" quotePrefix="0" xfId="0">
      <alignment horizontal="general" vertical="center"/>
    </xf>
    <xf numFmtId="0" fontId="30" fillId="0" borderId="17" applyAlignment="1" pivotButton="0" quotePrefix="0" xfId="0">
      <alignment horizontal="left" vertical="center" wrapText="1"/>
    </xf>
    <xf numFmtId="0" fontId="30" fillId="5" borderId="17" applyAlignment="1" pivotButton="0" quotePrefix="0" xfId="0">
      <alignment horizontal="center" vertical="center"/>
    </xf>
    <xf numFmtId="0" fontId="30" fillId="5" borderId="17" applyAlignment="1" pivotButton="0" quotePrefix="0" xfId="0">
      <alignment horizontal="left" vertical="center"/>
    </xf>
    <xf numFmtId="0" fontId="30" fillId="5" borderId="17" applyAlignment="1" pivotButton="0" quotePrefix="0" xfId="0">
      <alignment horizontal="left" vertical="center" wrapText="1"/>
    </xf>
    <xf numFmtId="0" fontId="31" fillId="5" borderId="0" applyAlignment="1" pivotButton="0" quotePrefix="0" xfId="0">
      <alignment horizontal="general" vertical="center"/>
    </xf>
    <xf numFmtId="0" fontId="32" fillId="5" borderId="17" applyAlignment="1" pivotButton="0" quotePrefix="0" xfId="0">
      <alignment horizontal="left" vertical="center" wrapText="1"/>
    </xf>
    <xf numFmtId="165" fontId="31" fillId="5" borderId="0" applyAlignment="1" pivotButton="0" quotePrefix="0" xfId="0">
      <alignment horizontal="general" vertical="center"/>
    </xf>
    <xf numFmtId="9" fontId="31" fillId="5" borderId="0" applyAlignment="1" pivotButton="0" quotePrefix="0" xfId="0">
      <alignment horizontal="general" vertical="center"/>
    </xf>
    <xf numFmtId="0" fontId="17" fillId="5" borderId="17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bottom" wrapText="1"/>
    </xf>
    <xf numFmtId="0" fontId="5" fillId="0" borderId="5" applyAlignment="1" pivotButton="0" quotePrefix="0" xfId="0">
      <alignment horizontal="general" vertical="center"/>
    </xf>
    <xf numFmtId="0" fontId="5" fillId="0" borderId="4" applyAlignment="1" pivotButton="0" quotePrefix="0" xfId="0">
      <alignment horizontal="general" vertical="center"/>
    </xf>
    <xf numFmtId="0" fontId="5" fillId="0" borderId="0" applyAlignment="1" pivotButton="0" quotePrefix="0" xfId="0">
      <alignment horizontal="center" vertical="top" wrapText="1"/>
    </xf>
    <xf numFmtId="4" fontId="33" fillId="6" borderId="18" applyAlignment="1" pivotButton="0" quotePrefix="0" xfId="0">
      <alignment horizontal="general" vertical="bottom"/>
    </xf>
    <xf numFmtId="4" fontId="33" fillId="6" borderId="16" applyAlignment="1" pivotButton="0" quotePrefix="0" xfId="0">
      <alignment horizontal="general" vertical="bottom"/>
    </xf>
    <xf numFmtId="4" fontId="33" fillId="6" borderId="19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7" fontId="5" fillId="0" borderId="0" applyAlignment="1" pivotButton="0" quotePrefix="0" xfId="0">
      <alignment horizontal="general" vertical="bottom"/>
    </xf>
    <xf numFmtId="167" fontId="5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horizontal="center" vertical="bottom" wrapText="1"/>
    </xf>
    <xf numFmtId="0" fontId="34" fillId="2" borderId="20" applyAlignment="1" pivotButton="0" quotePrefix="0" xfId="0">
      <alignment horizontal="center" vertical="center" wrapText="1"/>
    </xf>
    <xf numFmtId="0" fontId="34" fillId="2" borderId="3" applyAlignment="1" pivotButton="0" quotePrefix="0" xfId="0">
      <alignment horizontal="general" vertical="center" wrapText="1"/>
    </xf>
    <xf numFmtId="0" fontId="34" fillId="7" borderId="21" applyAlignment="1" pivotButton="0" quotePrefix="0" xfId="0">
      <alignment horizontal="center" vertical="center" wrapText="1"/>
    </xf>
    <xf numFmtId="0" fontId="35" fillId="0" borderId="0" applyAlignment="1" pivotButton="0" quotePrefix="0" xfId="0">
      <alignment horizontal="left" vertical="bottom"/>
    </xf>
    <xf numFmtId="0" fontId="35" fillId="0" borderId="0" applyAlignment="1" pivotButton="0" quotePrefix="0" xfId="0">
      <alignment horizontal="center" vertical="bottom" wrapText="1"/>
    </xf>
    <xf numFmtId="0" fontId="35" fillId="0" borderId="0" applyAlignment="1" pivotButton="0" quotePrefix="0" xfId="0">
      <alignment horizontal="general" vertical="bottom"/>
    </xf>
    <xf numFmtId="0" fontId="34" fillId="2" borderId="5" applyAlignment="1" pivotButton="0" quotePrefix="0" xfId="0">
      <alignment horizontal="general" vertical="center" wrapText="1"/>
    </xf>
    <xf numFmtId="0" fontId="36" fillId="2" borderId="4" applyAlignment="1" pivotButton="0" quotePrefix="0" xfId="0">
      <alignment horizontal="general" vertical="center"/>
    </xf>
    <xf numFmtId="0" fontId="36" fillId="2" borderId="0" applyAlignment="1" pivotButton="0" quotePrefix="0" xfId="0">
      <alignment horizontal="general" vertical="center"/>
    </xf>
    <xf numFmtId="0" fontId="36" fillId="2" borderId="0" applyAlignment="1" pivotButton="0" quotePrefix="0" xfId="0">
      <alignment horizontal="center" vertical="center"/>
    </xf>
    <xf numFmtId="0" fontId="36" fillId="2" borderId="0" applyAlignment="1" pivotButton="0" quotePrefix="0" xfId="0">
      <alignment horizontal="general" vertical="center" wrapText="1"/>
    </xf>
    <xf numFmtId="0" fontId="37" fillId="2" borderId="0" applyAlignment="1" pivotButton="0" quotePrefix="0" xfId="0">
      <alignment horizontal="center" vertical="center" wrapText="1"/>
    </xf>
    <xf numFmtId="166" fontId="37" fillId="2" borderId="5" applyAlignment="1" pivotButton="0" quotePrefix="0" xfId="0">
      <alignment horizontal="general" vertical="center" wrapText="1"/>
    </xf>
    <xf numFmtId="166" fontId="37" fillId="2" borderId="5" applyAlignment="1" pivotButton="0" quotePrefix="0" xfId="0">
      <alignment horizontal="general" vertical="center"/>
    </xf>
    <xf numFmtId="0" fontId="35" fillId="0" borderId="0" applyAlignment="1" pivotButton="0" quotePrefix="0" xfId="0">
      <alignment horizontal="left" vertical="center"/>
    </xf>
    <xf numFmtId="0" fontId="35" fillId="0" borderId="0" applyAlignment="1" pivotButton="0" quotePrefix="0" xfId="0">
      <alignment horizontal="center" vertical="center" wrapText="1"/>
    </xf>
    <xf numFmtId="0" fontId="35" fillId="0" borderId="0" applyAlignment="1" pivotButton="0" quotePrefix="0" xfId="0">
      <alignment horizontal="general" vertical="center"/>
    </xf>
    <xf numFmtId="0" fontId="36" fillId="2" borderId="0" applyAlignment="1" pivotButton="0" quotePrefix="0" xfId="0">
      <alignment horizontal="center" vertical="center" wrapText="1"/>
    </xf>
    <xf numFmtId="0" fontId="37" fillId="2" borderId="5" applyAlignment="1" pivotButton="0" quotePrefix="0" xfId="0">
      <alignment horizontal="center" vertical="center"/>
    </xf>
    <xf numFmtId="0" fontId="38" fillId="8" borderId="22" applyAlignment="1" pivotButton="0" quotePrefix="0" xfId="0">
      <alignment horizontal="center" vertical="center"/>
    </xf>
    <xf numFmtId="0" fontId="38" fillId="8" borderId="23" applyAlignment="1" pivotButton="0" quotePrefix="0" xfId="0">
      <alignment horizontal="center" vertical="center"/>
    </xf>
    <xf numFmtId="167" fontId="38" fillId="8" borderId="23" applyAlignment="1" pivotButton="0" quotePrefix="0" xfId="0">
      <alignment horizontal="center" vertical="center"/>
    </xf>
    <xf numFmtId="167" fontId="38" fillId="8" borderId="23" applyAlignment="1" pivotButton="0" quotePrefix="0" xfId="0">
      <alignment horizontal="center" vertical="center" wrapText="1"/>
    </xf>
    <xf numFmtId="167" fontId="38" fillId="8" borderId="24" applyAlignment="1" pivotButton="0" quotePrefix="0" xfId="0">
      <alignment horizontal="center" vertical="center"/>
    </xf>
    <xf numFmtId="167" fontId="38" fillId="8" borderId="25" applyAlignment="1" pivotButton="0" quotePrefix="0" xfId="0">
      <alignment horizontal="center" vertical="center"/>
    </xf>
    <xf numFmtId="167" fontId="38" fillId="7" borderId="25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general" vertical="center" wrapText="1"/>
    </xf>
    <xf numFmtId="0" fontId="5" fillId="0" borderId="27" applyAlignment="1" pivotButton="0" quotePrefix="0" xfId="0">
      <alignment horizontal="general" vertical="center" wrapText="1"/>
    </xf>
    <xf numFmtId="167" fontId="5" fillId="0" borderId="27" applyAlignment="1" pivotButton="0" quotePrefix="0" xfId="0">
      <alignment horizontal="general" vertical="center"/>
    </xf>
    <xf numFmtId="166" fontId="5" fillId="0" borderId="27" applyAlignment="1" pivotButton="0" quotePrefix="0" xfId="0">
      <alignment horizontal="general" vertical="center"/>
    </xf>
    <xf numFmtId="0" fontId="5" fillId="0" borderId="27" applyAlignment="1" pivotButton="0" quotePrefix="0" xfId="0">
      <alignment horizontal="center" vertical="center"/>
    </xf>
    <xf numFmtId="167" fontId="5" fillId="0" borderId="28" applyAlignment="1" pivotButton="0" quotePrefix="0" xfId="0">
      <alignment horizontal="general" vertical="center" wrapText="1"/>
    </xf>
    <xf numFmtId="167" fontId="5" fillId="0" borderId="29" applyAlignment="1" pivotButton="0" quotePrefix="0" xfId="0">
      <alignment horizontal="general" vertical="center"/>
    </xf>
    <xf numFmtId="167" fontId="5" fillId="0" borderId="29" applyAlignment="1" pivotButton="0" quotePrefix="0" xfId="0">
      <alignment horizontal="general" vertical="center" wrapText="1"/>
    </xf>
    <xf numFmtId="166" fontId="5" fillId="0" borderId="29" applyAlignment="1" pivotButton="0" quotePrefix="0" xfId="0">
      <alignment horizontal="general" vertical="center" wrapText="1"/>
    </xf>
    <xf numFmtId="167" fontId="20" fillId="0" borderId="29" applyAlignment="1" pivotButton="0" quotePrefix="0" xfId="0">
      <alignment horizontal="general" vertical="center" wrapText="1"/>
    </xf>
    <xf numFmtId="167" fontId="5" fillId="0" borderId="27" applyAlignment="1" pivotButton="0" quotePrefix="0" xfId="0">
      <alignment horizontal="general" vertical="center" wrapText="1"/>
    </xf>
    <xf numFmtId="0" fontId="5" fillId="0" borderId="26" applyAlignment="1" pivotButton="0" quotePrefix="0" xfId="0">
      <alignment horizontal="general" vertical="center"/>
    </xf>
    <xf numFmtId="167" fontId="5" fillId="0" borderId="27" applyAlignment="1" pivotButton="0" quotePrefix="0" xfId="0">
      <alignment horizontal="center" vertical="center"/>
    </xf>
    <xf numFmtId="0" fontId="24" fillId="0" borderId="30" applyAlignment="1" pivotButton="0" quotePrefix="0" xfId="0">
      <alignment horizontal="center" vertical="center"/>
    </xf>
    <xf numFmtId="167" fontId="24" fillId="0" borderId="31" applyAlignment="1" pivotButton="0" quotePrefix="0" xfId="0">
      <alignment horizontal="general" vertical="center"/>
    </xf>
    <xf numFmtId="167" fontId="24" fillId="0" borderId="32" applyAlignment="1" pivotButton="0" quotePrefix="0" xfId="0">
      <alignment horizontal="general" vertical="center"/>
    </xf>
    <xf numFmtId="167" fontId="24" fillId="0" borderId="33" applyAlignment="1" pivotButton="0" quotePrefix="0" xfId="0">
      <alignment horizontal="general" vertical="center"/>
    </xf>
    <xf numFmtId="167" fontId="24" fillId="0" borderId="33" applyAlignment="1" pivotButton="0" quotePrefix="0" xfId="0">
      <alignment horizontal="general" vertical="center" wrapText="1"/>
    </xf>
    <xf numFmtId="167" fontId="18" fillId="0" borderId="34" applyAlignment="1" pivotButton="0" quotePrefix="0" xfId="0">
      <alignment horizontal="right" vertical="center"/>
    </xf>
    <xf numFmtId="167" fontId="18" fillId="0" borderId="31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general" vertical="center"/>
    </xf>
    <xf numFmtId="9" fontId="5" fillId="0" borderId="0" applyAlignment="1" pivotButton="0" quotePrefix="0" xfId="0">
      <alignment horizontal="general" vertical="center"/>
    </xf>
    <xf numFmtId="0" fontId="0" fillId="0" borderId="0" pivotButton="0" quotePrefix="0" xfId="0"/>
    <xf numFmtId="0" fontId="6" fillId="2" borderId="1" applyAlignment="1" pivotButton="0" quotePrefix="0" xfId="0">
      <alignment horizontal="general" vertical="center"/>
    </xf>
    <xf numFmtId="0" fontId="6" fillId="2" borderId="2" applyAlignment="1" pivotButton="0" quotePrefix="0" xfId="0">
      <alignment horizontal="general" vertical="center"/>
    </xf>
    <xf numFmtId="0" fontId="6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5" fillId="2" borderId="3" applyAlignment="1" pivotButton="0" quotePrefix="0" xfId="0">
      <alignment horizontal="general" vertical="center"/>
    </xf>
    <xf numFmtId="0" fontId="6" fillId="2" borderId="4" applyAlignment="1" pivotButton="0" quotePrefix="0" xfId="0">
      <alignment horizontal="general" vertical="center"/>
    </xf>
    <xf numFmtId="0" fontId="6" fillId="2" borderId="0" applyAlignment="1" pivotButton="0" quotePrefix="0" xfId="0">
      <alignment horizontal="general" vertical="center"/>
    </xf>
    <xf numFmtId="0" fontId="5" fillId="2" borderId="5" applyAlignment="1" pivotButton="0" quotePrefix="0" xfId="0">
      <alignment horizontal="general" vertical="center"/>
    </xf>
    <xf numFmtId="0" fontId="7" fillId="2" borderId="4" applyAlignment="1" pivotButton="0" quotePrefix="0" xfId="0">
      <alignment horizontal="general" vertical="center"/>
    </xf>
    <xf numFmtId="0" fontId="7" fillId="2" borderId="0" applyAlignment="1" pivotButton="0" quotePrefix="0" xfId="0">
      <alignment horizontal="center" vertical="center"/>
    </xf>
    <xf numFmtId="165" fontId="7" fillId="2" borderId="0" applyAlignment="1" pivotButton="0" quotePrefix="0" xfId="0">
      <alignment horizontal="general" vertical="center"/>
    </xf>
    <xf numFmtId="0" fontId="5" fillId="3" borderId="4" applyAlignment="1" pivotButton="0" quotePrefix="0" xfId="0">
      <alignment horizontal="general" vertical="center"/>
    </xf>
    <xf numFmtId="0" fontId="5" fillId="3" borderId="0" applyAlignment="1" pivotButton="0" quotePrefix="0" xfId="0">
      <alignment horizontal="center" vertical="center"/>
    </xf>
    <xf numFmtId="164" fontId="5" fillId="3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general" vertical="center"/>
    </xf>
    <xf numFmtId="165" fontId="8" fillId="4" borderId="0" applyAlignment="1" pivotButton="0" quotePrefix="0" xfId="0">
      <alignment horizontal="general" vertical="center"/>
    </xf>
    <xf numFmtId="0" fontId="8" fillId="4" borderId="5" applyAlignment="1" pivotButton="0" quotePrefix="0" xfId="0">
      <alignment horizontal="general" vertical="center"/>
    </xf>
    <xf numFmtId="0" fontId="9" fillId="0" borderId="0" applyAlignment="1" pivotButton="0" quotePrefix="0" xfId="0">
      <alignment horizontal="general" vertical="center"/>
    </xf>
    <xf numFmtId="0" fontId="9" fillId="0" borderId="4" applyAlignment="1" pivotButton="0" quotePrefix="0" xfId="0">
      <alignment horizontal="general" vertical="center"/>
    </xf>
    <xf numFmtId="0" fontId="10" fillId="0" borderId="0" applyAlignment="1" pivotButton="0" quotePrefix="0" xfId="0">
      <alignment horizontal="general" vertical="center"/>
    </xf>
    <xf numFmtId="164" fontId="9" fillId="0" borderId="0" applyAlignment="1" pivotButton="0" quotePrefix="0" xfId="0">
      <alignment horizontal="center" vertical="center"/>
    </xf>
    <xf numFmtId="165" fontId="9" fillId="0" borderId="0" applyAlignment="1" pivotButton="0" quotePrefix="0" xfId="0">
      <alignment horizontal="general" vertical="center"/>
    </xf>
    <xf numFmtId="165" fontId="11" fillId="0" borderId="0" applyAlignment="1" pivotButton="0" quotePrefix="0" xfId="0">
      <alignment horizontal="general" vertical="center"/>
    </xf>
    <xf numFmtId="0" fontId="11" fillId="0" borderId="5" applyAlignment="1" pivotButton="0" quotePrefix="0" xfId="0">
      <alignment horizontal="general" vertical="center"/>
    </xf>
    <xf numFmtId="9" fontId="9" fillId="0" borderId="0" applyAlignment="1" pivotButton="0" quotePrefix="0" xfId="0">
      <alignment horizontal="general" vertical="center"/>
    </xf>
    <xf numFmtId="0" fontId="12" fillId="0" borderId="0" applyAlignment="1" pivotButton="0" quotePrefix="0" xfId="0">
      <alignment horizontal="general" vertical="center"/>
    </xf>
    <xf numFmtId="0" fontId="10" fillId="0" borderId="6" applyAlignment="1" pivotButton="0" quotePrefix="0" xfId="0">
      <alignment horizontal="center" vertical="center" textRotation="90"/>
    </xf>
    <xf numFmtId="0" fontId="13" fillId="0" borderId="7" applyAlignment="1" pivotButton="0" quotePrefix="0" xfId="0">
      <alignment horizontal="left" vertical="center"/>
    </xf>
    <xf numFmtId="0" fontId="14" fillId="0" borderId="8" applyAlignment="1" pivotButton="0" quotePrefix="0" xfId="0">
      <alignment horizontal="general" vertical="center"/>
    </xf>
    <xf numFmtId="164" fontId="12" fillId="0" borderId="0" applyAlignment="1" pivotButton="0" quotePrefix="0" xfId="0">
      <alignment horizontal="center" vertical="center"/>
    </xf>
    <xf numFmtId="165" fontId="15" fillId="0" borderId="9" applyAlignment="1" pivotButton="0" quotePrefix="0" xfId="0">
      <alignment horizontal="center" vertical="center"/>
    </xf>
    <xf numFmtId="165" fontId="16" fillId="0" borderId="8" applyAlignment="1" pivotButton="0" quotePrefix="0" xfId="0">
      <alignment horizontal="center" vertical="center"/>
    </xf>
    <xf numFmtId="0" fontId="0" fillId="0" borderId="8" pivotButton="0" quotePrefix="0" xfId="0"/>
    <xf numFmtId="165" fontId="12" fillId="0" borderId="0" applyAlignment="1" pivotButton="0" quotePrefix="0" xfId="0">
      <alignment horizontal="general" vertical="center"/>
    </xf>
    <xf numFmtId="9" fontId="12" fillId="0" borderId="0" applyAlignment="1" pivotButton="0" quotePrefix="0" xfId="0">
      <alignment horizontal="general" vertical="center"/>
    </xf>
    <xf numFmtId="0" fontId="0" fillId="0" borderId="4" pivotButton="0" quotePrefix="0" xfId="0"/>
    <xf numFmtId="0" fontId="13" fillId="0" borderId="0" applyAlignment="1" pivotButton="0" quotePrefix="0" xfId="0">
      <alignment horizontal="left" vertical="center"/>
    </xf>
    <xf numFmtId="0" fontId="14" fillId="0" borderId="10" applyAlignment="1" pivotButton="0" quotePrefix="0" xfId="0">
      <alignment horizontal="general" vertical="center"/>
    </xf>
    <xf numFmtId="0" fontId="0" fillId="0" borderId="15" pivotButton="0" quotePrefix="0" xfId="0"/>
    <xf numFmtId="0" fontId="0" fillId="0" borderId="10" pivotButton="0" quotePrefix="0" xfId="0"/>
    <xf numFmtId="0" fontId="14" fillId="0" borderId="10" applyAlignment="1" pivotButton="0" quotePrefix="0" xfId="0">
      <alignment horizontal="left" vertical="center" wrapText="1"/>
    </xf>
    <xf numFmtId="165" fontId="17" fillId="0" borderId="11" applyAlignment="1" pivotButton="0" quotePrefix="0" xfId="0">
      <alignment horizontal="center" vertical="center"/>
    </xf>
    <xf numFmtId="166" fontId="17" fillId="0" borderId="12" applyAlignment="1" pivotButton="0" quotePrefix="0" xfId="0">
      <alignment horizontal="center" vertical="center"/>
    </xf>
    <xf numFmtId="0" fontId="0" fillId="0" borderId="35" pivotButton="0" quotePrefix="0" xfId="0"/>
    <xf numFmtId="0" fontId="13" fillId="0" borderId="13" applyAlignment="1" pivotButton="0" quotePrefix="0" xfId="0">
      <alignment horizontal="general" vertical="center"/>
    </xf>
    <xf numFmtId="0" fontId="14" fillId="0" borderId="12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3" pivotButton="0" quotePrefix="0" xfId="0"/>
    <xf numFmtId="0" fontId="0" fillId="0" borderId="12" pivotButton="0" quotePrefix="0" xfId="0"/>
    <xf numFmtId="0" fontId="14" fillId="0" borderId="0" applyAlignment="1" pivotButton="0" quotePrefix="0" xfId="0">
      <alignment horizontal="general" vertical="center"/>
    </xf>
    <xf numFmtId="0" fontId="13" fillId="0" borderId="4" applyAlignment="1" pivotButton="0" quotePrefix="0" xfId="0">
      <alignment horizontal="general" vertical="center"/>
    </xf>
    <xf numFmtId="0" fontId="14" fillId="0" borderId="0" applyAlignment="1" pivotButton="0" quotePrefix="0" xfId="0">
      <alignment horizontal="center" vertical="center"/>
    </xf>
    <xf numFmtId="164" fontId="14" fillId="0" borderId="0" applyAlignment="1" pivotButton="0" quotePrefix="0" xfId="0">
      <alignment horizontal="center" vertical="center"/>
    </xf>
    <xf numFmtId="165" fontId="13" fillId="0" borderId="0" applyAlignment="1" pivotButton="0" quotePrefix="0" xfId="0">
      <alignment horizontal="general" vertical="center"/>
    </xf>
    <xf numFmtId="165" fontId="14" fillId="0" borderId="0" applyAlignment="1" pivotButton="0" quotePrefix="0" xfId="0">
      <alignment horizontal="center" vertical="center"/>
    </xf>
    <xf numFmtId="165" fontId="14" fillId="0" borderId="5" applyAlignment="1" pivotButton="0" quotePrefix="0" xfId="0">
      <alignment horizontal="center" vertical="center"/>
    </xf>
    <xf numFmtId="165" fontId="14" fillId="0" borderId="0" applyAlignment="1" pivotButton="0" quotePrefix="0" xfId="0">
      <alignment horizontal="general" vertical="center"/>
    </xf>
    <xf numFmtId="9" fontId="14" fillId="0" borderId="0" applyAlignment="1" pivotButton="0" quotePrefix="0" xfId="0">
      <alignment horizontal="general" vertical="center"/>
    </xf>
    <xf numFmtId="164" fontId="12" fillId="0" borderId="14" applyAlignment="1" pivotButton="0" quotePrefix="0" xfId="0">
      <alignment horizontal="center" vertical="center" textRotation="90" wrapText="1"/>
    </xf>
    <xf numFmtId="165" fontId="17" fillId="0" borderId="9" applyAlignment="1" pivotButton="0" quotePrefix="0" xfId="0">
      <alignment horizontal="center" vertical="center"/>
    </xf>
    <xf numFmtId="165" fontId="17" fillId="0" borderId="8" applyAlignment="1" pivotButton="0" quotePrefix="0" xfId="0">
      <alignment horizontal="center" vertical="center"/>
    </xf>
    <xf numFmtId="0" fontId="18" fillId="0" borderId="10" applyAlignment="1" pivotButton="0" quotePrefix="0" xfId="0">
      <alignment horizontal="general" vertical="center"/>
    </xf>
    <xf numFmtId="0" fontId="0" fillId="0" borderId="14" pivotButton="0" quotePrefix="0" xfId="0"/>
    <xf numFmtId="0" fontId="14" fillId="0" borderId="10" applyAlignment="1" pivotButton="0" quotePrefix="0" xfId="0">
      <alignment horizontal="left" vertical="center"/>
    </xf>
    <xf numFmtId="165" fontId="19" fillId="0" borderId="15" applyAlignment="1" pivotButton="0" quotePrefix="0" xfId="0">
      <alignment horizontal="general" vertical="center"/>
    </xf>
    <xf numFmtId="166" fontId="12" fillId="0" borderId="10" applyAlignment="1" pivotButton="0" quotePrefix="0" xfId="0">
      <alignment horizontal="center" vertical="center"/>
    </xf>
    <xf numFmtId="165" fontId="19" fillId="0" borderId="11" applyAlignment="1" pivotButton="0" quotePrefix="0" xfId="0">
      <alignment horizontal="general" vertical="center"/>
    </xf>
    <xf numFmtId="165" fontId="12" fillId="0" borderId="12" applyAlignment="1" pivotButton="0" quotePrefix="0" xfId="0">
      <alignment horizontal="center" vertical="center"/>
    </xf>
    <xf numFmtId="165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general" vertical="bottom"/>
    </xf>
    <xf numFmtId="0" fontId="21" fillId="0" borderId="12" applyAlignment="1" pivotButton="0" quotePrefix="0" xfId="0">
      <alignment horizontal="left" vertical="center"/>
    </xf>
    <xf numFmtId="0" fontId="13" fillId="0" borderId="0" applyAlignment="1" pivotButton="0" quotePrefix="0" xfId="0">
      <alignment horizontal="general" vertical="center"/>
    </xf>
    <xf numFmtId="0" fontId="13" fillId="0" borderId="0" applyAlignment="1" pivotButton="0" quotePrefix="0" xfId="0">
      <alignment horizontal="center" vertical="center"/>
    </xf>
    <xf numFmtId="0" fontId="13" fillId="0" borderId="16" applyAlignment="1" pivotButton="0" quotePrefix="0" xfId="0">
      <alignment horizontal="center" vertical="center"/>
    </xf>
    <xf numFmtId="0" fontId="0" fillId="0" borderId="16" pivotButton="0" quotePrefix="0" xfId="0"/>
    <xf numFmtId="165" fontId="13" fillId="0" borderId="0" applyAlignment="1" pivotButton="0" quotePrefix="0" xfId="0">
      <alignment horizontal="center" vertical="center"/>
    </xf>
    <xf numFmtId="0" fontId="13" fillId="0" borderId="5" applyAlignment="1" pivotButton="0" quotePrefix="0" xfId="0">
      <alignment horizontal="general" vertical="center"/>
    </xf>
    <xf numFmtId="9" fontId="13" fillId="0" borderId="0" applyAlignment="1" pivotButton="0" quotePrefix="0" xfId="0">
      <alignment horizontal="general" vertical="center"/>
    </xf>
    <xf numFmtId="0" fontId="22" fillId="0" borderId="0" applyAlignment="1" pivotButton="0" quotePrefix="0" xfId="0">
      <alignment horizontal="general" vertical="center"/>
    </xf>
    <xf numFmtId="0" fontId="23" fillId="0" borderId="1" applyAlignment="1" pivotButton="0" quotePrefix="0" xfId="0">
      <alignment horizontal="center" vertical="center"/>
    </xf>
    <xf numFmtId="165" fontId="23" fillId="0" borderId="3" applyAlignment="1" pivotButton="0" quotePrefix="0" xfId="0">
      <alignment horizontal="general" vertical="center"/>
    </xf>
    <xf numFmtId="165" fontId="22" fillId="0" borderId="0" applyAlignment="1" pivotButton="0" quotePrefix="0" xfId="0">
      <alignment horizontal="general" vertical="center"/>
    </xf>
    <xf numFmtId="9" fontId="22" fillId="0" borderId="0" applyAlignment="1" pivotButton="0" quotePrefix="0" xfId="0">
      <alignment horizontal="general" vertical="center"/>
    </xf>
    <xf numFmtId="0" fontId="24" fillId="0" borderId="0" applyAlignment="1" pivotButton="0" quotePrefix="0" xfId="0">
      <alignment horizontal="center" vertical="center" wrapText="1"/>
    </xf>
    <xf numFmtId="0" fontId="25" fillId="3" borderId="17" applyAlignment="1" pivotButton="0" quotePrefix="0" xfId="0">
      <alignment horizontal="center" vertical="center" wrapText="1"/>
    </xf>
    <xf numFmtId="0" fontId="0" fillId="0" borderId="5" pivotButton="0" quotePrefix="0" xfId="0"/>
    <xf numFmtId="165" fontId="24" fillId="0" borderId="0" applyAlignment="1" pivotButton="0" quotePrefix="0" xfId="0">
      <alignment horizontal="center" vertical="center" wrapText="1"/>
    </xf>
    <xf numFmtId="9" fontId="24" fillId="0" borderId="0" applyAlignment="1" pivotButton="0" quotePrefix="0" xfId="0">
      <alignment horizontal="center" vertical="center" wrapText="1"/>
    </xf>
    <xf numFmtId="0" fontId="24" fillId="0" borderId="4" applyAlignment="1" pivotButton="0" quotePrefix="0" xfId="0">
      <alignment horizontal="center" vertical="center" wrapText="1"/>
    </xf>
    <xf numFmtId="164" fontId="24" fillId="0" borderId="0" applyAlignment="1" pivotButton="0" quotePrefix="0" xfId="0">
      <alignment horizontal="center" vertical="center" wrapText="1"/>
    </xf>
    <xf numFmtId="0" fontId="24" fillId="0" borderId="5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165" fontId="5" fillId="0" borderId="5" applyAlignment="1" pivotButton="0" quotePrefix="0" xfId="0">
      <alignment horizontal="center" vertical="center"/>
    </xf>
    <xf numFmtId="0" fontId="26" fillId="0" borderId="17" applyAlignment="1" pivotButton="0" quotePrefix="0" xfId="0">
      <alignment horizontal="center" vertical="center"/>
    </xf>
    <xf numFmtId="0" fontId="5" fillId="5" borderId="0" applyAlignment="1" pivotButton="0" quotePrefix="0" xfId="0">
      <alignment horizontal="general" vertical="center"/>
    </xf>
    <xf numFmtId="0" fontId="24" fillId="5" borderId="4" applyAlignment="1" pivotButton="0" quotePrefix="0" xfId="0">
      <alignment horizontal="right" vertical="center"/>
    </xf>
    <xf numFmtId="165" fontId="24" fillId="5" borderId="5" applyAlignment="1" pivotButton="0" quotePrefix="0" xfId="0">
      <alignment horizontal="general" vertical="center"/>
    </xf>
    <xf numFmtId="165" fontId="5" fillId="5" borderId="0" applyAlignment="1" pivotButton="0" quotePrefix="0" xfId="0">
      <alignment horizontal="general" vertical="center"/>
    </xf>
    <xf numFmtId="9" fontId="5" fillId="5" borderId="0" applyAlignment="1" pivotButton="0" quotePrefix="0" xfId="0">
      <alignment horizontal="general" vertical="center"/>
    </xf>
    <xf numFmtId="4" fontId="27" fillId="0" borderId="17" applyAlignment="1" pivotButton="0" quotePrefix="0" xfId="0">
      <alignment horizontal="center" vertical="center"/>
    </xf>
    <xf numFmtId="0" fontId="18" fillId="5" borderId="0" applyAlignment="1" pivotButton="0" quotePrefix="0" xfId="0">
      <alignment horizontal="general" vertical="center"/>
    </xf>
    <xf numFmtId="0" fontId="28" fillId="5" borderId="4" applyAlignment="1" pivotButton="0" quotePrefix="0" xfId="0">
      <alignment horizontal="right" vertical="center"/>
    </xf>
    <xf numFmtId="165" fontId="29" fillId="5" borderId="5" applyAlignment="1" pivotButton="0" quotePrefix="0" xfId="0">
      <alignment horizontal="center" vertical="center"/>
    </xf>
    <xf numFmtId="165" fontId="18" fillId="5" borderId="0" applyAlignment="1" pivotButton="0" quotePrefix="0" xfId="0">
      <alignment horizontal="general" vertical="center"/>
    </xf>
    <xf numFmtId="9" fontId="18" fillId="5" borderId="0" applyAlignment="1" pivotButton="0" quotePrefix="0" xfId="0">
      <alignment horizontal="general" vertical="center"/>
    </xf>
    <xf numFmtId="0" fontId="30" fillId="0" borderId="17" applyAlignment="1" pivotButton="0" quotePrefix="0" xfId="0">
      <alignment horizontal="left" vertical="center" wrapText="1"/>
    </xf>
    <xf numFmtId="0" fontId="30" fillId="5" borderId="17" applyAlignment="1" pivotButton="0" quotePrefix="0" xfId="0">
      <alignment horizontal="center" vertical="center"/>
    </xf>
    <xf numFmtId="0" fontId="30" fillId="5" borderId="17" applyAlignment="1" pivotButton="0" quotePrefix="0" xfId="0">
      <alignment horizontal="left" vertical="center"/>
    </xf>
    <xf numFmtId="0" fontId="30" fillId="5" borderId="17" applyAlignment="1" pivotButton="0" quotePrefix="0" xfId="0">
      <alignment horizontal="left" vertical="center" wrapText="1"/>
    </xf>
    <xf numFmtId="0" fontId="31" fillId="5" borderId="0" applyAlignment="1" pivotButton="0" quotePrefix="0" xfId="0">
      <alignment horizontal="general" vertical="center"/>
    </xf>
    <xf numFmtId="0" fontId="32" fillId="5" borderId="17" applyAlignment="1" pivotButton="0" quotePrefix="0" xfId="0">
      <alignment horizontal="left" vertical="center" wrapText="1"/>
    </xf>
    <xf numFmtId="165" fontId="31" fillId="5" borderId="0" applyAlignment="1" pivotButton="0" quotePrefix="0" xfId="0">
      <alignment horizontal="general" vertical="center"/>
    </xf>
    <xf numFmtId="9" fontId="31" fillId="5" borderId="0" applyAlignment="1" pivotButton="0" quotePrefix="0" xfId="0">
      <alignment horizontal="general" vertical="center"/>
    </xf>
    <xf numFmtId="0" fontId="17" fillId="5" borderId="17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bottom" wrapText="1"/>
    </xf>
    <xf numFmtId="0" fontId="5" fillId="0" borderId="5" applyAlignment="1" pivotButton="0" quotePrefix="0" xfId="0">
      <alignment horizontal="general" vertical="center"/>
    </xf>
    <xf numFmtId="0" fontId="5" fillId="0" borderId="4" applyAlignment="1" pivotButton="0" quotePrefix="0" xfId="0">
      <alignment horizontal="general" vertical="center"/>
    </xf>
    <xf numFmtId="0" fontId="5" fillId="0" borderId="0" applyAlignment="1" pivotButton="0" quotePrefix="0" xfId="0">
      <alignment horizontal="center" vertical="top" wrapText="1"/>
    </xf>
    <xf numFmtId="4" fontId="33" fillId="6" borderId="18" applyAlignment="1" pivotButton="0" quotePrefix="0" xfId="0">
      <alignment horizontal="general" vertical="bottom"/>
    </xf>
    <xf numFmtId="4" fontId="33" fillId="6" borderId="16" applyAlignment="1" pivotButton="0" quotePrefix="0" xfId="0">
      <alignment horizontal="general" vertical="bottom"/>
    </xf>
    <xf numFmtId="4" fontId="33" fillId="6" borderId="19" applyAlignment="1" pivotButton="0" quotePrefix="0" xfId="0">
      <alignment horizontal="general" vertical="bottom"/>
    </xf>
    <xf numFmtId="164" fontId="0" fillId="0" borderId="0" pivotButton="0" quotePrefix="0" xfId="0"/>
    <xf numFmtId="165" fontId="0" fillId="0" borderId="0" pivotButton="0" quotePrefix="0" xfId="0"/>
  </cellXfs>
  <cellStyles count="20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Euro" xfId="6"/>
    <cellStyle name="Euro 2" xfId="7"/>
    <cellStyle name="Moeda 2" xfId="8"/>
    <cellStyle name="Moeda 2 2" xfId="9"/>
    <cellStyle name="Moeda 3" xfId="10"/>
    <cellStyle name="Normal 2" xfId="11"/>
    <cellStyle name="Normal 2 2" xfId="12"/>
    <cellStyle name="Normal 3" xfId="13"/>
    <cellStyle name="Normal 4" xfId="14"/>
    <cellStyle name="Normal 5" xfId="15"/>
    <cellStyle name="Porcentagem 2" xfId="16"/>
    <cellStyle name="Porcentagem 3" xfId="17"/>
    <cellStyle name="Separador de milhares 2" xfId="18"/>
    <cellStyle name="Vírgula 2" xfId="19"/>
  </cellStyles>
  <dxfs count="2">
    <dxf>
      <font>
        <color rgb="FF0070C0"/>
      </font>
    </dxf>
    <dxf>
      <font>
        <color rgb="FFFF000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70C0"/>
      <rgbColor rgb="FFB9B9B9"/>
      <rgbColor rgb="FF767171"/>
      <rgbColor rgb="FF9999FF"/>
      <rgbColor rgb="FF993366"/>
      <rgbColor rgb="FFF2F2F2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BD438"/>
      <rgbColor rgb="FF3366FF"/>
      <rgbColor rgb="FF33CCCC"/>
      <rgbColor rgb="FF99CC00"/>
      <rgbColor rgb="FFFFC000"/>
      <rgbColor rgb="FFFF9900"/>
      <rgbColor rgb="FFFF6600"/>
      <rgbColor rgb="FF666699"/>
      <rgbColor rgb="FF9D9FA2"/>
      <rgbColor rgb="FF003366"/>
      <rgbColor rgb="FF339966"/>
      <rgbColor rgb="FF003300"/>
      <rgbColor rgb="FF333300"/>
      <rgbColor rgb="FF993300"/>
      <rgbColor rgb="FF993366"/>
      <rgbColor rgb="FF333399"/>
      <rgbColor rgb="FF231F2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B2:M67"/>
  <sheetViews>
    <sheetView showFormulas="0" showGridLines="0" showRowColHeaders="1" showZeros="1" rightToLeft="0" tabSelected="1" showOutlineSymbols="1" defaultGridColor="1" view="pageBreakPreview" topLeftCell="A1" colorId="64" zoomScale="70" zoomScaleNormal="100" zoomScalePageLayoutView="70" workbookViewId="0">
      <selection pane="topLeft" activeCell="B34" activeCellId="0" sqref="B34"/>
    </sheetView>
  </sheetViews>
  <sheetFormatPr baseColWidth="8" defaultColWidth="8.88671875" defaultRowHeight="14.25" zeroHeight="0" outlineLevelRow="0"/>
  <cols>
    <col width="3.44" customWidth="1" style="170" min="1" max="1"/>
    <col width="10.88" customWidth="1" style="170" min="2" max="2"/>
    <col width="31.33" customWidth="1" style="171" min="3" max="3"/>
    <col width="82.44" customWidth="1" style="171" min="4" max="4"/>
    <col width="12.67" customWidth="1" style="172" min="5" max="5"/>
    <col width="27.67" customWidth="1" style="173" min="6" max="6"/>
    <col width="18.67" customWidth="1" style="173" min="7" max="7"/>
    <col width="24.33" customWidth="1" style="170" min="8" max="8"/>
    <col width="8.880000000000001" customWidth="1" style="170" min="9" max="10"/>
    <col width="17.67" customWidth="1" style="173" min="11" max="11"/>
    <col width="8.880000000000001" customWidth="1" style="174" min="12" max="12"/>
    <col width="16.33" customWidth="1" style="173" min="13" max="13"/>
    <col width="8.880000000000001" customWidth="1" style="170" min="14" max="16384"/>
  </cols>
  <sheetData>
    <row r="1" ht="15" customHeight="1" s="175"/>
    <row r="2" ht="14.25" customHeight="1" s="175">
      <c r="B2" s="176" t="n"/>
      <c r="C2" s="177" t="n"/>
      <c r="D2" s="178" t="inlineStr">
        <is>
          <t>ORDEM DE COMPRA</t>
        </is>
      </c>
      <c r="E2" s="179" t="n"/>
      <c r="F2" s="179" t="n"/>
      <c r="G2" s="177" t="n"/>
      <c r="H2" s="180" t="n"/>
    </row>
    <row r="3" ht="14.25" customHeight="1" s="175">
      <c r="B3" s="181" t="n"/>
      <c r="C3" s="182" t="n"/>
      <c r="G3" s="182" t="n"/>
      <c r="H3" s="183" t="n"/>
    </row>
    <row r="4" ht="14.25" customHeight="1" s="175">
      <c r="B4" s="181" t="n"/>
      <c r="C4" s="182" t="n"/>
      <c r="G4" s="182" t="n"/>
      <c r="H4" s="183" t="n"/>
    </row>
    <row r="5" ht="14.25" customHeight="1" s="175">
      <c r="B5" s="181" t="n"/>
      <c r="C5" s="182" t="n"/>
      <c r="G5" s="182" t="n"/>
      <c r="H5" s="183" t="n"/>
    </row>
    <row r="6" ht="14.25" customHeight="1" s="175">
      <c r="B6" s="184" t="n"/>
      <c r="C6" s="185" t="n"/>
      <c r="G6" s="186" t="n"/>
      <c r="H6" s="183" t="n"/>
    </row>
    <row r="7" ht="14.25" customHeight="1" s="175">
      <c r="B7" s="187" t="n"/>
      <c r="C7" s="188" t="n"/>
      <c r="D7" s="188" t="n"/>
      <c r="E7" s="189" t="n"/>
      <c r="F7" s="190" t="n"/>
      <c r="G7" s="191" t="n"/>
      <c r="H7" s="192" t="n"/>
    </row>
    <row r="8" ht="19.5" customFormat="1" customHeight="1" s="193">
      <c r="B8" s="194" t="n"/>
      <c r="D8" s="195" t="n"/>
      <c r="E8" s="196" t="n"/>
      <c r="F8" s="197" t="n"/>
      <c r="G8" s="198" t="n"/>
      <c r="H8" s="199" t="n"/>
      <c r="K8" s="197" t="n"/>
      <c r="L8" s="200" t="n"/>
      <c r="M8" s="197" t="n"/>
    </row>
    <row r="9" ht="19.5" customFormat="1" customHeight="1" s="201">
      <c r="B9" s="202" t="inlineStr">
        <is>
          <t>CONTRATANTE</t>
        </is>
      </c>
      <c r="C9" s="203" t="inlineStr">
        <is>
          <t>Razão Social</t>
        </is>
      </c>
      <c r="D9" s="204" t="inlineStr">
        <is>
          <t>[NOME DO CLIENTE/CONDOMÍNIO]</t>
        </is>
      </c>
      <c r="E9" s="205" t="n"/>
      <c r="F9" s="206" t="inlineStr">
        <is>
          <t>Nº OC</t>
        </is>
      </c>
      <c r="G9" s="207" t="inlineStr">
        <is>
          <t>[Nº]</t>
        </is>
      </c>
      <c r="H9" s="208" t="n"/>
      <c r="K9" s="209" t="n"/>
      <c r="L9" s="210" t="n"/>
      <c r="M9" s="209" t="n"/>
    </row>
    <row r="10" ht="19.5" customFormat="1" customHeight="1" s="201">
      <c r="B10" s="211" t="n"/>
      <c r="C10" s="212" t="inlineStr">
        <is>
          <t>CNPJ</t>
        </is>
      </c>
      <c r="D10" s="213" t="inlineStr">
        <is>
          <t>[CNPJ DO CLIENTE]</t>
        </is>
      </c>
      <c r="E10" s="205" t="n"/>
      <c r="F10" s="214" t="n"/>
      <c r="H10" s="215" t="n"/>
      <c r="K10" s="209" t="n"/>
      <c r="L10" s="210" t="n"/>
      <c r="M10" s="209" t="n"/>
    </row>
    <row r="11" ht="19.5" customFormat="1" customHeight="1" s="201">
      <c r="B11" s="211" t="n"/>
      <c r="C11" s="212" t="inlineStr">
        <is>
          <t>Endereço</t>
        </is>
      </c>
      <c r="D11" s="213" t="inlineStr">
        <is>
          <t>[ENDEREÇO COMPLETO DO CLIENTE/OBRA]</t>
        </is>
      </c>
      <c r="E11" s="205" t="n"/>
      <c r="F11" s="214" t="n"/>
      <c r="H11" s="215" t="n"/>
      <c r="K11" s="209" t="n"/>
      <c r="L11" s="210" t="n"/>
      <c r="M11" s="209" t="n"/>
    </row>
    <row r="12" ht="19.5" customFormat="1" customHeight="1" s="201">
      <c r="B12" s="211" t="n"/>
      <c r="C12" s="212" t="inlineStr">
        <is>
          <t>Inscrição Municipal</t>
        </is>
      </c>
      <c r="D12" s="216" t="inlineStr">
        <is>
          <t>[INSCRIÇÃO MUNICIPAL]</t>
        </is>
      </c>
      <c r="E12" s="205" t="n"/>
      <c r="F12" s="214" t="n"/>
      <c r="H12" s="215" t="n"/>
      <c r="K12" s="209" t="n"/>
      <c r="L12" s="210" t="n"/>
      <c r="M12" s="209" t="n"/>
    </row>
    <row r="13" ht="19.5" customFormat="1" customHeight="1" s="201">
      <c r="B13" s="211" t="n"/>
      <c r="C13" s="212" t="inlineStr">
        <is>
          <t>ISSQN</t>
        </is>
      </c>
      <c r="D13" s="216" t="inlineStr">
        <is>
          <t>[ISSQN: Retido/Não Retido]</t>
        </is>
      </c>
      <c r="E13" s="205" t="n"/>
      <c r="F13" s="214" t="n"/>
      <c r="H13" s="215" t="n"/>
      <c r="K13" s="209" t="n"/>
      <c r="L13" s="210" t="n"/>
      <c r="M13" s="209" t="n"/>
    </row>
    <row r="14" ht="19.5" customFormat="1" customHeight="1" s="201">
      <c r="B14" s="211" t="n"/>
      <c r="C14" s="212" t="inlineStr">
        <is>
          <t>ICMS</t>
        </is>
      </c>
      <c r="D14" s="216" t="inlineStr">
        <is>
          <t>[ICMS: Isento/Tributado]</t>
        </is>
      </c>
      <c r="E14" s="205" t="n"/>
      <c r="F14" s="217" t="inlineStr">
        <is>
          <t>Data</t>
        </is>
      </c>
      <c r="G14" s="218">
        <f>TODAY()</f>
        <v/>
      </c>
      <c r="H14" s="215" t="n"/>
      <c r="K14" s="209" t="n"/>
      <c r="L14" s="210" t="n"/>
      <c r="M14" s="209" t="n"/>
    </row>
    <row r="15" ht="19.5" customFormat="1" customHeight="1" s="201">
      <c r="B15" s="219" t="n"/>
      <c r="C15" s="220" t="inlineStr">
        <is>
          <t>Faturamento/Financeiro</t>
        </is>
      </c>
      <c r="D15" s="221" t="inlineStr">
        <is>
          <t>[E-MAIL FINANCEIRO DO CLIENTE]</t>
        </is>
      </c>
      <c r="E15" s="205" t="n"/>
      <c r="F15" s="222" t="n"/>
      <c r="G15" s="223" t="n"/>
      <c r="H15" s="224" t="n"/>
      <c r="K15" s="209" t="n"/>
      <c r="L15" s="210" t="n"/>
      <c r="M15" s="209" t="n"/>
    </row>
    <row r="16" ht="19.5" customFormat="1" customHeight="1" s="225">
      <c r="B16" s="226" t="n"/>
      <c r="C16" s="227" t="n"/>
      <c r="D16" s="227" t="n"/>
      <c r="E16" s="228" t="n"/>
      <c r="F16" s="229" t="n"/>
      <c r="G16" s="230" t="n"/>
      <c r="H16" s="231" t="n"/>
      <c r="K16" s="232" t="n"/>
      <c r="L16" s="233" t="n"/>
      <c r="M16" s="232" t="n"/>
    </row>
    <row r="17" ht="19.5" customFormat="1" customHeight="1" s="201">
      <c r="B17" s="202" t="inlineStr">
        <is>
          <t>COMPRADOR</t>
        </is>
      </c>
      <c r="C17" s="203" t="inlineStr">
        <is>
          <t>CONSTRUTORA</t>
        </is>
      </c>
      <c r="D17" s="204" t="inlineStr">
        <is>
          <t>KASAP ENGENHARIA E CONSULTORIA LTDA</t>
        </is>
      </c>
      <c r="E17" s="234" t="inlineStr">
        <is>
          <t>CONDIÇÕES DE ENTREGA</t>
        </is>
      </c>
      <c r="F17" s="235" t="inlineStr">
        <is>
          <t>FRETE</t>
        </is>
      </c>
      <c r="G17" s="236" t="inlineStr">
        <is>
          <t>CIF (FORNECEDOR)</t>
        </is>
      </c>
      <c r="H17" s="208" t="n"/>
      <c r="K17" s="209" t="n"/>
      <c r="L17" s="210" t="n"/>
      <c r="M17" s="209" t="n"/>
    </row>
    <row r="18" ht="19.5" customFormat="1" customHeight="1" s="201">
      <c r="B18" s="211" t="n"/>
      <c r="C18" s="212" t="inlineStr">
        <is>
          <t>Endereço de entrega (obra)</t>
        </is>
      </c>
      <c r="D18" s="237">
        <f>D11</f>
        <v/>
      </c>
      <c r="E18" s="238" t="n"/>
      <c r="F18" s="214" t="n"/>
      <c r="H18" s="215" t="n"/>
      <c r="K18" s="209" t="n"/>
      <c r="L18" s="210" t="n"/>
      <c r="M18" s="209" t="n"/>
    </row>
    <row r="19" ht="19.5" customFormat="1" customHeight="1" s="201">
      <c r="B19" s="211" t="n"/>
      <c r="C19" s="212" t="inlineStr">
        <is>
          <t>Horário de entrega:</t>
        </is>
      </c>
      <c r="D19" s="213" t="inlineStr">
        <is>
          <t>08:00 às 12:00 e 13:00 às 18:00</t>
        </is>
      </c>
      <c r="E19" s="238" t="n"/>
      <c r="F19" s="214" t="n"/>
      <c r="H19" s="215" t="n"/>
      <c r="K19" s="209" t="n"/>
      <c r="L19" s="210" t="n"/>
      <c r="M19" s="209" t="n"/>
    </row>
    <row r="20" ht="19.5" customFormat="1" customHeight="1" s="201">
      <c r="B20" s="211" t="n"/>
      <c r="C20" s="212" t="inlineStr">
        <is>
          <t>Responsável</t>
        </is>
      </c>
      <c r="D20" s="239" t="inlineStr">
        <is>
          <t>[RESPONSÁVEL PELO RECEBIMENTO NA OBRA]</t>
        </is>
      </c>
      <c r="E20" s="238" t="n"/>
      <c r="F20" s="240" t="inlineStr">
        <is>
          <t>PRAZO DE ENTREGA</t>
        </is>
      </c>
      <c r="G20" s="241" t="inlineStr">
        <is>
          <t>[PRAZO DE ENTREGA]</t>
        </is>
      </c>
      <c r="H20" s="215" t="n"/>
      <c r="K20" s="209" t="n"/>
      <c r="L20" s="210" t="n"/>
      <c r="M20" s="209" t="n"/>
    </row>
    <row r="21" ht="19.5" customFormat="1" customHeight="1" s="201">
      <c r="B21" s="219" t="n"/>
      <c r="C21" s="220" t="inlineStr">
        <is>
          <t>Contatos</t>
        </is>
      </c>
      <c r="D21" s="221" t="inlineStr">
        <is>
          <t>[TELEFONE/E-MAIL DO RESPONSÁVEL NA OBRA]</t>
        </is>
      </c>
      <c r="E21" s="238" t="n"/>
      <c r="F21" s="242" t="inlineStr">
        <is>
          <t>CONDIÇÕES DE PGTO</t>
        </is>
      </c>
      <c r="G21" s="243" t="inlineStr">
        <is>
          <t>[CONDIÇÕES DE PAGAMENTO]</t>
        </is>
      </c>
      <c r="H21" s="224" t="n"/>
      <c r="K21" s="209" t="n"/>
      <c r="L21" s="210" t="n"/>
      <c r="M21" s="209" t="n"/>
    </row>
    <row r="22" ht="19.5" customFormat="1" customHeight="1" s="225">
      <c r="B22" s="226" t="n"/>
      <c r="C22" s="227" t="n"/>
      <c r="D22" s="227" t="n"/>
      <c r="E22" s="228" t="n"/>
      <c r="F22" s="229" t="n"/>
      <c r="G22" s="230" t="n"/>
      <c r="H22" s="231" t="n"/>
      <c r="K22" s="232" t="n"/>
      <c r="L22" s="233" t="n"/>
      <c r="M22" s="209" t="n"/>
    </row>
    <row r="23" ht="19.5" customFormat="1" customHeight="1" s="201">
      <c r="B23" s="202" t="inlineStr">
        <is>
          <t>FORNECEDOR</t>
        </is>
      </c>
      <c r="C23" s="203" t="inlineStr">
        <is>
          <t>RAZAO SOCIAL</t>
        </is>
      </c>
      <c r="D23" s="204" t="inlineStr">
        <is>
          <t>[RAZÃO SOCIAL DO FORNECEDOR]</t>
        </is>
      </c>
      <c r="E23" s="234" t="inlineStr">
        <is>
          <t>CONTROLE INTERNO</t>
        </is>
      </c>
      <c r="F23" s="244" t="inlineStr">
        <is>
          <t>CONTRATO</t>
        </is>
      </c>
      <c r="G23" s="245" t="inlineStr">
        <is>
          <t>[Nº DO CONTRATO/OC RELACIONADO]</t>
        </is>
      </c>
      <c r="H23" s="208" t="n"/>
      <c r="K23" s="209" t="n"/>
      <c r="L23" s="210" t="n"/>
      <c r="M23" s="209" t="n"/>
    </row>
    <row r="24" ht="19.5" customFormat="1" customHeight="1" s="201">
      <c r="B24" s="211" t="n"/>
      <c r="C24" s="212" t="inlineStr">
        <is>
          <t>Endereço</t>
        </is>
      </c>
      <c r="D24" s="246" t="inlineStr">
        <is>
          <t>[ENDEREÇO DO FORNECEDOR]</t>
        </is>
      </c>
      <c r="E24" s="238" t="n"/>
      <c r="F24" s="214" t="n"/>
      <c r="H24" s="215" t="n"/>
      <c r="K24" s="209" t="n"/>
      <c r="L24" s="210" t="n"/>
      <c r="M24" s="209" t="n"/>
    </row>
    <row r="25" ht="19.5" customFormat="1" customHeight="1" s="201">
      <c r="B25" s="211" t="n"/>
      <c r="C25" s="212" t="inlineStr">
        <is>
          <t>CNPJ</t>
        </is>
      </c>
      <c r="D25" s="213" t="inlineStr">
        <is>
          <t>[CNPJ DO FORNECEDOR]</t>
        </is>
      </c>
      <c r="E25" s="238" t="n"/>
      <c r="F25" s="214" t="n"/>
      <c r="H25" s="215" t="n"/>
      <c r="K25" s="209" t="n"/>
      <c r="L25" s="210" t="n"/>
      <c r="M25" s="209" t="n"/>
    </row>
    <row r="26" ht="19.5" customFormat="1" customHeight="1" s="201">
      <c r="B26" s="211" t="n"/>
      <c r="C26" s="212" t="inlineStr">
        <is>
          <t>Responsável</t>
        </is>
      </c>
      <c r="D26" s="239" t="inlineStr">
        <is>
          <t>[RESPONSÁVEL DO FORNECEDOR]</t>
        </is>
      </c>
      <c r="E26" s="238" t="n"/>
      <c r="F26" s="240" t="inlineStr">
        <is>
          <t>PRAZO DE ENTREGA</t>
        </is>
      </c>
      <c r="G26" s="241" t="inlineStr">
        <is>
          <t>[PRAZO DE ENTREGA]</t>
        </is>
      </c>
      <c r="H26" s="215" t="n"/>
      <c r="K26" s="209" t="n"/>
      <c r="L26" s="210" t="n"/>
      <c r="M26" s="209" t="n"/>
    </row>
    <row r="27" ht="19.5" customFormat="1" customHeight="1" s="201">
      <c r="B27" s="219" t="n"/>
      <c r="C27" s="220" t="inlineStr">
        <is>
          <t>Contatos</t>
        </is>
      </c>
      <c r="D27" s="247" t="inlineStr">
        <is>
          <t>[TELEFONE/E-MAIL DO FORNECEDOR]</t>
        </is>
      </c>
      <c r="E27" s="238" t="n"/>
      <c r="F27" s="242" t="inlineStr">
        <is>
          <t>CONDIÇÕES DE PGTO</t>
        </is>
      </c>
      <c r="G27" s="243" t="inlineStr">
        <is>
          <t>[CONDIÇÕES DE PAGAMENTO]</t>
        </is>
      </c>
      <c r="H27" s="224" t="n"/>
      <c r="K27" s="209" t="n"/>
      <c r="L27" s="210" t="n"/>
      <c r="M27" s="209" t="n"/>
    </row>
    <row r="28" ht="19.5" customFormat="1" customHeight="1" s="248">
      <c r="B28" s="226" t="n"/>
      <c r="C28" s="249" t="n"/>
      <c r="D28" s="250" t="n"/>
      <c r="E28" s="251" t="n"/>
      <c r="F28" s="251" t="n"/>
      <c r="G28" s="252" t="n"/>
      <c r="H28" s="253" t="n"/>
      <c r="K28" s="229" t="n"/>
      <c r="L28" s="254" t="n"/>
      <c r="M28" s="229" t="n"/>
    </row>
    <row r="29" ht="27" customFormat="1" customHeight="1" s="255">
      <c r="B29" s="256" t="n"/>
      <c r="C29" s="179" t="n"/>
      <c r="D29" s="179" t="n"/>
      <c r="E29" s="179" t="n"/>
      <c r="F29" s="179" t="n"/>
      <c r="G29" s="179" t="n"/>
      <c r="H29" s="257" t="n"/>
      <c r="K29" s="258" t="n"/>
      <c r="L29" s="259" t="n"/>
      <c r="M29" s="258" t="n"/>
    </row>
    <row r="30" ht="31.5" customFormat="1" customHeight="1" s="260">
      <c r="B30" s="261" t="inlineStr">
        <is>
          <t>RELAÇÃO DE ITENS DESTA ORDEM DE COMPRA</t>
        </is>
      </c>
      <c r="H30" s="262" t="n"/>
      <c r="K30" s="263" t="n"/>
      <c r="L30" s="264" t="n"/>
      <c r="M30" s="263" t="n"/>
    </row>
    <row r="31" ht="24" customFormat="1" customHeight="1" s="260">
      <c r="B31" s="265" t="inlineStr">
        <is>
          <t>ITEM</t>
        </is>
      </c>
      <c r="C31" s="260" t="inlineStr">
        <is>
          <t>CENTRO DE CUSTO</t>
        </is>
      </c>
      <c r="D31" s="260" t="inlineStr">
        <is>
          <t>DESCRIÇÃO</t>
        </is>
      </c>
      <c r="E31" s="266" t="inlineStr">
        <is>
          <t>QUANTIDADE</t>
        </is>
      </c>
      <c r="F31" s="263" t="inlineStr">
        <is>
          <t>UNIDADE</t>
        </is>
      </c>
      <c r="G31" s="260" t="inlineStr">
        <is>
          <t>VALOR UNITÁRIO</t>
        </is>
      </c>
      <c r="H31" s="267" t="inlineStr">
        <is>
          <t>VALOR TOTAL</t>
        </is>
      </c>
      <c r="K31" s="263" t="n"/>
      <c r="L31" s="264" t="n"/>
      <c r="M31" s="263" t="n"/>
    </row>
    <row r="32" ht="115.5" customHeight="1" s="175">
      <c r="B32" s="268" t="n">
        <v>1</v>
      </c>
      <c r="C32" s="269" t="n"/>
      <c r="D32" s="269" t="n"/>
      <c r="E32" s="172" t="n"/>
      <c r="F32" s="171" t="inlineStr">
        <is>
          <t>PC</t>
        </is>
      </c>
      <c r="G32" s="173" t="n"/>
      <c r="H32" s="270">
        <f>G32*E32</f>
        <v/>
      </c>
    </row>
    <row r="33" ht="114" customHeight="1" s="175">
      <c r="B33" s="268">
        <f>B32+1</f>
        <v/>
      </c>
      <c r="C33" s="269" t="n"/>
      <c r="D33" s="269" t="n"/>
      <c r="E33" s="172" t="n"/>
      <c r="F33" s="171" t="inlineStr">
        <is>
          <t>PC</t>
        </is>
      </c>
      <c r="G33" s="173" t="n"/>
      <c r="H33" s="270">
        <f>G33*E33</f>
        <v/>
      </c>
    </row>
    <row r="34" ht="84.75" customHeight="1" s="175">
      <c r="B34" s="268">
        <f>B33+1</f>
        <v/>
      </c>
      <c r="C34" s="269" t="n"/>
      <c r="D34" s="269" t="n"/>
      <c r="E34" s="299" t="n"/>
      <c r="F34" s="171" t="inlineStr">
        <is>
          <t>PC</t>
        </is>
      </c>
      <c r="G34" s="300" t="n"/>
      <c r="H34" s="270">
        <f>G34*E34</f>
        <v/>
      </c>
    </row>
    <row r="35" ht="84.75" customHeight="1" s="175">
      <c r="B35" s="268">
        <f>B34+1</f>
        <v/>
      </c>
      <c r="C35" s="269" t="n"/>
      <c r="D35" s="269" t="n"/>
      <c r="E35" s="299" t="n"/>
      <c r="F35" s="171" t="inlineStr">
        <is>
          <t>PC</t>
        </is>
      </c>
      <c r="G35" s="300" t="n"/>
      <c r="H35" s="270">
        <f>G35*E35</f>
        <v/>
      </c>
    </row>
    <row r="36" ht="46.5" customHeight="1" s="175">
      <c r="B36" s="268">
        <f>B35+1</f>
        <v/>
      </c>
      <c r="C36" s="269" t="n"/>
      <c r="D36" s="269" t="n"/>
      <c r="E36" s="299" t="n"/>
      <c r="F36" s="171" t="inlineStr">
        <is>
          <t>PC</t>
        </is>
      </c>
      <c r="G36" s="300" t="n"/>
      <c r="H36" s="270">
        <f>G36*E36</f>
        <v/>
      </c>
    </row>
    <row r="37" ht="14.25" customHeight="1" s="175">
      <c r="B37" s="271" t="inlineStr">
        <is>
          <t>FIM DOS LANÇAMENTOS</t>
        </is>
      </c>
      <c r="H37" s="262" t="n"/>
    </row>
    <row r="38" ht="27" customFormat="1" customHeight="1" s="272">
      <c r="B38" s="273" t="inlineStr">
        <is>
          <t>SUBTOTAL</t>
        </is>
      </c>
      <c r="H38" s="274">
        <f>SUM(H32:H36)</f>
        <v/>
      </c>
      <c r="K38" s="275" t="n"/>
      <c r="L38" s="276" t="n"/>
      <c r="M38" s="275" t="n"/>
    </row>
    <row r="39" ht="14.25" customHeight="1" s="175">
      <c r="B39" s="277" t="n"/>
      <c r="H39" s="262" t="n"/>
    </row>
    <row r="40" ht="27" customFormat="1" customHeight="1" s="272">
      <c r="B40" s="273" t="inlineStr">
        <is>
          <t>DESCONTO</t>
        </is>
      </c>
      <c r="H40" s="274" t="n">
        <v>0</v>
      </c>
      <c r="K40" s="275" t="n"/>
      <c r="L40" s="276" t="n"/>
      <c r="M40" s="275" t="n"/>
    </row>
    <row r="41" ht="14.25" customHeight="1" s="175">
      <c r="B41" s="277" t="n"/>
      <c r="H41" s="262" t="n"/>
    </row>
    <row r="42" ht="27" customFormat="1" customHeight="1" s="272">
      <c r="B42" s="273" t="inlineStr">
        <is>
          <t>IPI</t>
        </is>
      </c>
      <c r="H42" s="274" t="n">
        <v>0</v>
      </c>
      <c r="K42" s="275" t="n"/>
      <c r="L42" s="276" t="n"/>
      <c r="M42" s="275" t="n"/>
    </row>
    <row r="43" ht="14.25" customHeight="1" s="175">
      <c r="B43" s="277" t="n"/>
      <c r="H43" s="262" t="n"/>
    </row>
    <row r="44" ht="27" customFormat="1" customHeight="1" s="272">
      <c r="B44" s="273" t="inlineStr">
        <is>
          <t>FRETE</t>
        </is>
      </c>
      <c r="H44" s="274" t="n">
        <v>0</v>
      </c>
      <c r="K44" s="275" t="n"/>
      <c r="L44" s="276" t="n"/>
      <c r="M44" s="275" t="n"/>
    </row>
    <row r="45" ht="14.25" customHeight="1" s="175">
      <c r="B45" s="277" t="n"/>
      <c r="H45" s="262" t="n"/>
    </row>
    <row r="46" ht="27" customFormat="1" customHeight="1" s="272">
      <c r="B46" s="273" t="inlineStr">
        <is>
          <t>OUTROS</t>
        </is>
      </c>
      <c r="H46" s="274" t="n">
        <v>0</v>
      </c>
      <c r="K46" s="275" t="n"/>
      <c r="L46" s="276" t="n"/>
      <c r="M46" s="275" t="n"/>
    </row>
    <row r="47" ht="14.25" customHeight="1" s="175">
      <c r="B47" s="277" t="n"/>
      <c r="H47" s="262" t="n"/>
    </row>
    <row r="48" ht="27" customFormat="1" customHeight="1" s="272">
      <c r="B48" s="273" t="inlineStr">
        <is>
          <t>ICMS</t>
        </is>
      </c>
      <c r="H48" s="274" t="n">
        <v>0</v>
      </c>
      <c r="K48" s="275" t="n"/>
      <c r="L48" s="276" t="n"/>
      <c r="M48" s="275" t="n"/>
    </row>
    <row r="49" ht="14.25" customHeight="1" s="175">
      <c r="B49" s="277" t="n"/>
      <c r="H49" s="262" t="n"/>
    </row>
    <row r="50" ht="27" customFormat="1" customHeight="1" s="278">
      <c r="B50" s="279" t="inlineStr">
        <is>
          <t>TOTAL</t>
        </is>
      </c>
      <c r="H50" s="280">
        <f>H38+H40+H42+H44+H46+H48</f>
        <v/>
      </c>
      <c r="K50" s="281" t="n"/>
      <c r="L50" s="282" t="n"/>
      <c r="M50" s="281" t="n"/>
    </row>
    <row r="51" ht="27" customFormat="1" customHeight="1" s="272">
      <c r="B51" s="211" t="n"/>
      <c r="H51" s="262" t="n"/>
      <c r="K51" s="275" t="n"/>
      <c r="L51" s="276" t="n"/>
      <c r="M51" s="275" t="n"/>
    </row>
    <row r="52" ht="27" customFormat="1" customHeight="1" s="272">
      <c r="B52" s="283" t="inlineStr">
        <is>
          <t>OBSERVAÇÕES</t>
        </is>
      </c>
      <c r="H52" s="262" t="n"/>
      <c r="K52" s="275" t="n"/>
      <c r="L52" s="276" t="n"/>
      <c r="M52" s="275" t="n"/>
    </row>
    <row r="53" ht="27" customFormat="1" customHeight="1" s="272">
      <c r="B53" s="284" t="inlineStr">
        <is>
          <t>&gt;&gt;&gt;&gt;&gt;&gt; *Empresa não contribuinte do ICMS conf. Art. 189-a e art. 178 do Anexo IX do RICMS/MG." &lt;&lt;&lt;&lt;&lt;&lt;</t>
        </is>
      </c>
      <c r="H53" s="262" t="n"/>
      <c r="K53" s="275" t="n"/>
      <c r="L53" s="276" t="n"/>
      <c r="M53" s="275" t="n"/>
    </row>
    <row r="54" ht="27" customFormat="1" customHeight="1" s="272">
      <c r="B54" s="285" t="inlineStr">
        <is>
          <t>1) PREÇO FIXO E IRREAJUSTÁVEL;</t>
        </is>
      </c>
      <c r="H54" s="262" t="n"/>
      <c r="K54" s="275" t="n"/>
      <c r="L54" s="276" t="n"/>
      <c r="M54" s="275" t="n"/>
    </row>
    <row r="55" ht="27" customFormat="1" customHeight="1" s="272">
      <c r="B55" s="285" t="inlineStr">
        <is>
          <t>2) I.P.I. E OUTROS IMPOSTOS INCLUSOS NO TOTAL GERAL DESTA O.C.;</t>
        </is>
      </c>
      <c r="H55" s="262" t="n"/>
      <c r="K55" s="275" t="n"/>
      <c r="L55" s="276" t="n"/>
      <c r="M55" s="275" t="n"/>
    </row>
    <row r="56" ht="27" customFormat="1" customHeight="1" s="272">
      <c r="B56" s="285" t="inlineStr">
        <is>
          <t>3) O TRANSPORTE DA MERCADORIA SERÁ FEITO POR CONTA DO FORNECEDOR NO ENDEREÇO DE ENTREGA ACIMA MENCIONADO;</t>
        </is>
      </c>
      <c r="H56" s="262" t="n"/>
      <c r="K56" s="275" t="n"/>
      <c r="L56" s="276" t="n"/>
      <c r="M56" s="275" t="n"/>
    </row>
    <row r="57" ht="90" customFormat="1" customHeight="1" s="272">
      <c r="B57" s="286" t="inlineStr">
        <is>
          <t>4) CONDIÇÃO DE PAGAMENTO:
[Nº]ª PARCELA - R$ [VALOR] - [DATA]
(repetir uma linha por parcela combinada)</t>
        </is>
      </c>
      <c r="H57" s="262" t="n"/>
      <c r="K57" s="275" t="n"/>
      <c r="L57" s="276" t="n"/>
      <c r="M57" s="275" t="n"/>
    </row>
    <row r="58" ht="54" customFormat="1" customHeight="1" s="287">
      <c r="B58" s="288">
        <f>"5) O FATURAMENTO SERÁ EMITIDO PARA A EMPRESA CONTRATANTE - "&amp;D9&amp;" - CNPJ: "&amp;D10</f>
        <v/>
      </c>
      <c r="H58" s="262" t="n"/>
      <c r="K58" s="289" t="n"/>
      <c r="L58" s="290" t="n"/>
      <c r="M58" s="289" t="n"/>
    </row>
    <row r="59" ht="54" customFormat="1" customHeight="1" s="287">
      <c r="B59" s="288">
        <f>"6) PAGAMENTO SERÁ EFETUADO PELA EMPRESA CONTRATANTE - "&amp;D9&amp;" - CNPJ: "&amp;D10</f>
        <v/>
      </c>
      <c r="H59" s="262" t="n"/>
      <c r="K59" s="289" t="n"/>
      <c r="L59" s="290" t="n"/>
      <c r="M59" s="289" t="n"/>
    </row>
    <row r="60" ht="81" customFormat="1" customHeight="1" s="287">
      <c r="B60" s="291">
        <f>"7) A construtora KASAP Engenharia e Consultoria LTDA não se responsabiliza pelo pagamento e faturamento desta ordem de compra. A construtora é apenas a administradora da obra do CONTRATANTE "&amp;D9&amp;" - CNPJ: "&amp;D10</f>
        <v/>
      </c>
      <c r="H60" s="262" t="n"/>
      <c r="K60" s="289" t="n"/>
      <c r="L60" s="290" t="n"/>
      <c r="M60" s="289" t="n"/>
    </row>
    <row r="61" ht="46.5" customHeight="1" s="175">
      <c r="B61" s="268" t="n"/>
      <c r="D61" s="292" t="inlineStr">
        <is>
          <t>____________________________________________</t>
        </is>
      </c>
      <c r="G61" s="170" t="n"/>
      <c r="H61" s="293" t="n"/>
    </row>
    <row r="62" ht="14.25" customHeight="1" s="175">
      <c r="B62" s="294" t="n"/>
      <c r="C62" s="170" t="n"/>
      <c r="D62" s="295">
        <f>D23</f>
        <v/>
      </c>
      <c r="G62" s="170" t="n"/>
      <c r="H62" s="293" t="n"/>
    </row>
    <row r="63" ht="14.25" customHeight="1" s="175">
      <c r="B63" s="294" t="n"/>
      <c r="C63" s="170" t="n"/>
      <c r="D63" s="295">
        <f>D25</f>
        <v/>
      </c>
      <c r="G63" s="170" t="n"/>
      <c r="H63" s="293" t="n"/>
    </row>
    <row r="64" ht="46.5" customHeight="1" s="175">
      <c r="B64" s="294" t="n"/>
      <c r="C64" s="170" t="n"/>
      <c r="D64" s="292" t="inlineStr">
        <is>
          <t>____________________________________________</t>
        </is>
      </c>
      <c r="G64" s="170" t="n"/>
      <c r="H64" s="293" t="n"/>
    </row>
    <row r="65" ht="14.25" customHeight="1" s="175">
      <c r="B65" s="294" t="n"/>
      <c r="C65" s="170" t="n"/>
      <c r="D65" s="295">
        <f>D9</f>
        <v/>
      </c>
      <c r="G65" s="170" t="n"/>
      <c r="H65" s="293" t="n"/>
    </row>
    <row r="66" ht="14.25" customHeight="1" s="175">
      <c r="B66" s="294" t="n"/>
      <c r="C66" s="170" t="n"/>
      <c r="D66" s="295">
        <f>D10</f>
        <v/>
      </c>
      <c r="G66" s="170" t="n"/>
      <c r="H66" s="293" t="n"/>
    </row>
    <row r="67" ht="15.75" customHeight="1" s="175">
      <c r="B67" s="296" t="n"/>
      <c r="C67" s="297" t="n"/>
      <c r="D67" s="297" t="n"/>
      <c r="E67" s="297" t="n"/>
      <c r="F67" s="297" t="n"/>
      <c r="G67" s="297" t="n"/>
      <c r="H67" s="298" t="n"/>
    </row>
  </sheetData>
  <mergeCells count="52">
    <mergeCell ref="F17:F19"/>
    <mergeCell ref="G21:H21"/>
    <mergeCell ref="B42:G42"/>
    <mergeCell ref="B49:H49"/>
    <mergeCell ref="D2:F6"/>
    <mergeCell ref="D61:F61"/>
    <mergeCell ref="B9:B15"/>
    <mergeCell ref="G27:H27"/>
    <mergeCell ref="H50:H51"/>
    <mergeCell ref="B30:H30"/>
    <mergeCell ref="B55:H55"/>
    <mergeCell ref="D66:F66"/>
    <mergeCell ref="G9:H13"/>
    <mergeCell ref="F23:F25"/>
    <mergeCell ref="G14:H15"/>
    <mergeCell ref="B44:G44"/>
    <mergeCell ref="B29:G29"/>
    <mergeCell ref="B45:H45"/>
    <mergeCell ref="B38:G38"/>
    <mergeCell ref="G17:H19"/>
    <mergeCell ref="D28:F28"/>
    <mergeCell ref="B50:G51"/>
    <mergeCell ref="B41:H41"/>
    <mergeCell ref="F9:F13"/>
    <mergeCell ref="D62:F62"/>
    <mergeCell ref="B61:C61"/>
    <mergeCell ref="B47:H47"/>
    <mergeCell ref="G23:H25"/>
    <mergeCell ref="B40:G40"/>
    <mergeCell ref="B54:H54"/>
    <mergeCell ref="B59:H59"/>
    <mergeCell ref="D64:F64"/>
    <mergeCell ref="B56:H56"/>
    <mergeCell ref="B58:H58"/>
    <mergeCell ref="B52:H52"/>
    <mergeCell ref="B43:H43"/>
    <mergeCell ref="B39:H39"/>
    <mergeCell ref="B60:H60"/>
    <mergeCell ref="G26:H26"/>
    <mergeCell ref="E23:E27"/>
    <mergeCell ref="D63:F63"/>
    <mergeCell ref="F14:F15"/>
    <mergeCell ref="E17:E21"/>
    <mergeCell ref="G20:H20"/>
    <mergeCell ref="B23:B27"/>
    <mergeCell ref="B46:G46"/>
    <mergeCell ref="B57:H57"/>
    <mergeCell ref="B17:B21"/>
    <mergeCell ref="B53:H53"/>
    <mergeCell ref="D65:F65"/>
    <mergeCell ref="B48:G48"/>
    <mergeCell ref="B37:H37"/>
  </mergeCells>
  <conditionalFormatting sqref="H32:H36">
    <cfRule type="cellIs" rank="0" priority="2" equalAverage="0" operator="equal" aboveAverage="0" dxfId="0" text="" percent="0" bottom="0">
      <formula>"CRÉDITO"</formula>
    </cfRule>
    <cfRule type="cellIs" rank="0" priority="3" equalAverage="0" operator="equal" aboveAverage="0" dxfId="1" text="" percent="0" bottom="0">
      <formula>"DÉBITO"</formula>
    </cfRule>
  </conditionalFormatting>
  <printOptions horizontalCentered="1" verticalCentered="0" headings="0" gridLines="0" gridLinesSet="1"/>
  <pageMargins left="0.196527777777778" right="0.196527777777778" top="0.196527777777778" bottom="0.196527777777778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Rafael Rocha</dc:creator>
  <dc:language xmlns:dc="http://purl.org/dc/elements/1.1/">en-US</dc:language>
  <dcterms:created xmlns:dcterms="http://purl.org/dc/terms/" xmlns:xsi="http://www.w3.org/2001/XMLSchema-instance" xsi:type="dcterms:W3CDTF">2021-02-05T16:23:32Z</dcterms:created>
  <dcterms:modified xmlns:dcterms="http://purl.org/dc/terms/" xmlns:xsi="http://www.w3.org/2001/XMLSchema-instance" xsi:type="dcterms:W3CDTF">2026-09-06T17:29:06Z</dcterms:modified>
  <cp:lastModifiedBy>Rafael Rocha</cp:lastModifiedBy>
  <cp:revision>0</cp:revision>
  <cp:lastPrinted>2023-01-10T14:25:28Z</cp:lastPrinted>
</cp:coreProperties>
</file>